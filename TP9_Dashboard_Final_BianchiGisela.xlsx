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der entregas\Entrega_TP9_BianchiGisela\"/>
    </mc:Choice>
  </mc:AlternateContent>
  <xr:revisionPtr revIDLastSave="0" documentId="13_ncr:1_{125D805E-A2FC-4BD8-8234-4BC7B843921D}" xr6:coauthVersionLast="47" xr6:coauthVersionMax="47" xr10:uidLastSave="{00000000-0000-0000-0000-000000000000}"/>
  <bookViews>
    <workbookView xWindow="-108" yWindow="-108" windowWidth="23256" windowHeight="12720" tabRatio="706" firstSheet="2" activeTab="5" xr2:uid="{2F514155-03C8-45DE-8960-C73EDCC1E5EE}"/>
  </bookViews>
  <sheets>
    <sheet name="Evaluacion_Financiera" sheetId="1" r:id="rId1"/>
    <sheet name="Reporte_Ejecutivo" sheetId="2" r:id="rId2"/>
    <sheet name="Analisis_Modelo" sheetId="6" r:id="rId3"/>
    <sheet name="Resumen del escenario" sheetId="11" r:id="rId4"/>
    <sheet name="Estadistica_Descriptiva" sheetId="10" r:id="rId5"/>
    <sheet name="Dashboard_Final" sheetId="12" r:id="rId6"/>
    <sheet name="Documentacion_IA" sheetId="14" state="hidden" r:id="rId7"/>
    <sheet name="Aux_Dashboard" sheetId="13" state="hidden" r:id="rId8"/>
    <sheet name="Datos_Crudos_Transacciones" sheetId="8" state="hidden" r:id="rId9"/>
  </sheets>
  <definedNames>
    <definedName name="_xlnm.Print_Area" localSheetId="5">Dashboard_Final!$A$1:$Q$35</definedName>
    <definedName name="_xlnm.Print_Area" localSheetId="1">Reporte_Ejecutivo!$A$1:$K$35</definedName>
    <definedName name="Cantidad_Dinamica">Aux_Dashboard!$B$2:INDEX(Aux_Dashboard!$B:$B,COUNT(Aux_Dashboard!$B$2:$B$17)+1)</definedName>
    <definedName name="DatosExternos_1" localSheetId="8" hidden="1">Datos_Crudos_Transacciones!$A$1:$K$96</definedName>
    <definedName name="SegmentaciónDeDatos_Categoria">#N/A</definedName>
    <definedName name="SegmentaciónDeDatos_Categoria1">#N/A</definedName>
    <definedName name="SegmentaciónDeDatos_Categoria2">#N/A</definedName>
    <definedName name="SegmentaciónDeDatos_Nombre_Mes">#N/A</definedName>
    <definedName name="SegmentaciónDeDatos_Region">#N/A</definedName>
    <definedName name="SegmentaciónDeDatos_Region1">#N/A</definedName>
    <definedName name="SegmentaciónDeDatos_Region2">#N/A</definedName>
    <definedName name="Ventas_Dinamicas">Aux_Dashboard!$C$2:INDEX(Aux_Dashboard!$C:$C,COUNT(Aux_Dashboard!$B$2:$B$17)+1)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4="http://schemas.microsoft.com/office/spreadsheetml/2009/9/main" uri="{876F7934-8845-4945-9796-88D515C7AA90}">
      <x14:pivotCaches>
        <pivotCache cacheId="5" r:id="rId15"/>
        <pivotCache cacheId="6" r:id="rId16"/>
        <pivotCache cacheId="7" r:id="rId17"/>
      </x14:pivotCaches>
    </ex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_Crudos_Transacciones_c017bc02-0011-4b05-b28b-62a4afab5406" name="Datos_Crudos_Transacciones" connection="Consulta - Datos_Crudos_Transacciones"/>
          <x15:modelTable id="Dim_Clientes_5b61e852-6604-49d0-911f-7285a953d3fe" name="Dim_Clientes" connection="Consulta - Dim_Clientes"/>
          <x15:modelTable id="Dim_Productos_ba3574a2-4c5d-4ec2-a40d-5485d447b4c1" name="Dim_Productos" connection="Consulta - Dim_Productos"/>
          <x15:modelTable id="Dim_Calendario_4ca69e82-b3b8-4d2f-b007-deda2c743854" name="Dim_Calendario" connection="Consulta - Dim_Calendario"/>
        </x15:modelTables>
        <x15:modelRelationships>
          <x15:modelRelationship fromTable="Datos_Crudos_Transacciones" fromColumn="Fecha" toTable="Dim_Calendario" toColumn="Fecha"/>
          <x15:modelRelationship fromTable="Datos_Crudos_Transacciones" fromColumn="ID_Producto" toTable="Dim_Productos" toColumn="ID_Producto"/>
          <x15:modelRelationship fromTable="Datos_Crudos_Transacciones" fromColumn="ID_Cliente" toTable="Dim_Clientes" toColumn="ID_Clien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3" l="1"/>
  <c r="B3" i="13"/>
  <c r="C3" i="13"/>
  <c r="A4" i="13"/>
  <c r="B4" i="13"/>
  <c r="C4" i="13"/>
  <c r="A5" i="13"/>
  <c r="B5" i="13"/>
  <c r="C5" i="13"/>
  <c r="A6" i="13"/>
  <c r="B6" i="13"/>
  <c r="C6" i="13"/>
  <c r="A7" i="13"/>
  <c r="B7" i="13"/>
  <c r="C7" i="13"/>
  <c r="A8" i="13"/>
  <c r="B8" i="13"/>
  <c r="C8" i="13"/>
  <c r="A9" i="13"/>
  <c r="B9" i="13"/>
  <c r="C9" i="13"/>
  <c r="A10" i="13"/>
  <c r="B10" i="13"/>
  <c r="C10" i="13"/>
  <c r="A11" i="13"/>
  <c r="B11" i="13"/>
  <c r="C11" i="13"/>
  <c r="A12" i="13"/>
  <c r="B12" i="13"/>
  <c r="C12" i="13"/>
  <c r="A13" i="13"/>
  <c r="B13" i="13"/>
  <c r="C13" i="13"/>
  <c r="A14" i="13"/>
  <c r="B14" i="13"/>
  <c r="C14" i="13"/>
  <c r="A15" i="13"/>
  <c r="B15" i="13"/>
  <c r="C15" i="13"/>
  <c r="A16" i="13"/>
  <c r="B16" i="13"/>
  <c r="C16" i="13"/>
  <c r="A17" i="13"/>
  <c r="B17" i="13"/>
  <c r="C17" i="13"/>
  <c r="C2" i="13"/>
  <c r="B2" i="13"/>
  <c r="A2" i="13"/>
  <c r="J6" i="12"/>
  <c r="F6" i="12"/>
  <c r="B6" i="12"/>
  <c r="E6" i="2"/>
  <c r="B6" i="2"/>
  <c r="B7" i="1"/>
  <c r="B21" i="1"/>
  <c r="B20" i="1"/>
  <c r="B2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8C7A24-63FA-46EA-8D79-C4FF76CB3FCF}" name="Consulta - Datos_Crudos_Transacciones" description="Conexión a la consulta 'Datos_Crudos_Transacciones' en el libro." type="100" refreshedVersion="8" minRefreshableVersion="5">
    <extLst>
      <ext xmlns:x15="http://schemas.microsoft.com/office/spreadsheetml/2010/11/main" uri="{DE250136-89BD-433C-8126-D09CA5730AF9}">
        <x15:connection id="33518dca-0ea4-4509-a515-ea71f213c234"/>
      </ext>
    </extLst>
  </connection>
  <connection id="2" xr16:uid="{FE65A72A-7E48-4CC3-A7AE-67250D612D66}" name="Consulta - Dim_Calendario" description="Conexión a la consulta 'Dim_Calendario' en el libro." type="100" refreshedVersion="8" minRefreshableVersion="5">
    <extLst>
      <ext xmlns:x15="http://schemas.microsoft.com/office/spreadsheetml/2010/11/main" uri="{DE250136-89BD-433C-8126-D09CA5730AF9}">
        <x15:connection id="0dda8d58-a674-4a8c-8c69-4f77bb3a526f"/>
      </ext>
    </extLst>
  </connection>
  <connection id="3" xr16:uid="{731150C7-AEB4-4DCD-8FB9-F63528649E17}" name="Consulta - Dim_Clientes" description="Conexión a la consulta 'Dim_Clientes' en el libro." type="100" refreshedVersion="8" minRefreshableVersion="5">
    <extLst>
      <ext xmlns:x15="http://schemas.microsoft.com/office/spreadsheetml/2010/11/main" uri="{DE250136-89BD-433C-8126-D09CA5730AF9}">
        <x15:connection id="337fde04-2bf6-4b0d-8be2-a6e9c4ffb3b3"/>
      </ext>
    </extLst>
  </connection>
  <connection id="4" xr16:uid="{AC704E1A-6EC5-473C-9D79-EF48618A78F4}" name="Consulta - Dim_Productos" description="Conexión a la consulta 'Dim_Productos' en el libro." type="100" refreshedVersion="8" minRefreshableVersion="5">
    <extLst>
      <ext xmlns:x15="http://schemas.microsoft.com/office/spreadsheetml/2010/11/main" uri="{DE250136-89BD-433C-8126-D09CA5730AF9}">
        <x15:connection id="e87c4a2a-214d-4ea4-842d-d791d1120279"/>
      </ext>
    </extLst>
  </connection>
  <connection id="5" xr16:uid="{08348432-12E7-4A0B-B6AB-0B2C886BDA8B}" keepAlive="1" name="ModelConnection_DatosExternos_1" description="Modelo de datos" type="5" refreshedVersion="8" minRefreshableVersion="5" saveData="1">
    <dbPr connection="Data Model Connection" command="Datos_Crudos_Transaccion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9C7881F4-C833-4A55-976C-3306D6A19B5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im_Calendario].[Nombre_Mes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<sst xmlns="http://schemas.openxmlformats.org/spreadsheetml/2006/main" count="519" uniqueCount="147">
  <si>
    <t>EVALUACION FINANCIERA DEL PROYECTO</t>
  </si>
  <si>
    <t>Inversion inicial</t>
  </si>
  <si>
    <t>Tasa anual</t>
  </si>
  <si>
    <t>Pagos por año</t>
  </si>
  <si>
    <t>Cuota mensual</t>
  </si>
  <si>
    <t>FLUJO DE CAJA PROYECTADO</t>
  </si>
  <si>
    <t>Año</t>
  </si>
  <si>
    <t>Flujo de caja</t>
  </si>
  <si>
    <t>Tasa de descuento</t>
  </si>
  <si>
    <t>VAN</t>
  </si>
  <si>
    <t>TIR</t>
  </si>
  <si>
    <t>Plazo(años)</t>
  </si>
  <si>
    <t>Conclusión</t>
  </si>
  <si>
    <t>Etiquetas de fila</t>
  </si>
  <si>
    <t>Centro</t>
  </si>
  <si>
    <t>Este</t>
  </si>
  <si>
    <t>Norte</t>
  </si>
  <si>
    <t>Oeste</t>
  </si>
  <si>
    <t>Sur</t>
  </si>
  <si>
    <t>Total general</t>
  </si>
  <si>
    <t>Etiquetas de columna</t>
  </si>
  <si>
    <t>Accesorios</t>
  </si>
  <si>
    <t>Hogar</t>
  </si>
  <si>
    <t>Oficina</t>
  </si>
  <si>
    <t>Tecnología</t>
  </si>
  <si>
    <t>Suma de Monto</t>
  </si>
  <si>
    <t>REPORTE EJECUTIVO DE VENTAS</t>
  </si>
  <si>
    <t>Análisis de ventas por región y categoría</t>
  </si>
  <si>
    <t>Nombre_Mes</t>
  </si>
  <si>
    <t>Total Ventas</t>
  </si>
  <si>
    <t>Ticket Promedio</t>
  </si>
  <si>
    <t>All</t>
  </si>
  <si>
    <t>VENTAS TOTALES
$ 143.911.639</t>
  </si>
  <si>
    <t>TICKET PROMEDIO
$ 1.514.859,36</t>
  </si>
  <si>
    <t>Fecha</t>
  </si>
  <si>
    <t>Region</t>
  </si>
  <si>
    <t>Categoria</t>
  </si>
  <si>
    <t>Producto</t>
  </si>
  <si>
    <t>Cantidad</t>
  </si>
  <si>
    <t>Precio_Unitario</t>
  </si>
  <si>
    <t>Monto</t>
  </si>
  <si>
    <t>Cliente</t>
  </si>
  <si>
    <t>ID_Transaccion</t>
  </si>
  <si>
    <t>ID_Producto</t>
  </si>
  <si>
    <t>ID_Cliente</t>
  </si>
  <si>
    <t>Archivador</t>
  </si>
  <si>
    <t>Cliente 22</t>
  </si>
  <si>
    <t>Mouse</t>
  </si>
  <si>
    <t>Auriculares</t>
  </si>
  <si>
    <t>Cliente 21</t>
  </si>
  <si>
    <t>Cliente 10</t>
  </si>
  <si>
    <t>Teclado</t>
  </si>
  <si>
    <t>Cliente 25</t>
  </si>
  <si>
    <t>Cliente 04</t>
  </si>
  <si>
    <t>Cliente 11</t>
  </si>
  <si>
    <t>Ventilador</t>
  </si>
  <si>
    <t>Cliente 24</t>
  </si>
  <si>
    <t>Lámpara</t>
  </si>
  <si>
    <t>Cliente 07</t>
  </si>
  <si>
    <t>Escritorio</t>
  </si>
  <si>
    <t>Cliente 08</t>
  </si>
  <si>
    <t>Aspiradora</t>
  </si>
  <si>
    <t>Cliente 23</t>
  </si>
  <si>
    <t>Monitor</t>
  </si>
  <si>
    <t>Cliente 18</t>
  </si>
  <si>
    <t>Calculadora</t>
  </si>
  <si>
    <t>Cafetera</t>
  </si>
  <si>
    <t>Cliente 16</t>
  </si>
  <si>
    <t>Notebook</t>
  </si>
  <si>
    <t>Cliente 12</t>
  </si>
  <si>
    <t>Tablet</t>
  </si>
  <si>
    <t>Cliente 15</t>
  </si>
  <si>
    <t>Cliente 14</t>
  </si>
  <si>
    <t>Cliente 19</t>
  </si>
  <si>
    <t>Cliente 20</t>
  </si>
  <si>
    <t>Webcam</t>
  </si>
  <si>
    <t>Cliente 05</t>
  </si>
  <si>
    <t>Cliente 02</t>
  </si>
  <si>
    <t>Cliente 13</t>
  </si>
  <si>
    <t>Cliente 03</t>
  </si>
  <si>
    <t>Cliente 09</t>
  </si>
  <si>
    <t>Silla</t>
  </si>
  <si>
    <t>Cliente 06</t>
  </si>
  <si>
    <t>Smartphone</t>
  </si>
  <si>
    <t>Cliente 17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</si>
  <si>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</si>
  <si>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</si>
  <si>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</si>
  <si>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</si>
  <si>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</si>
  <si>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</si>
  <si>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</si>
  <si>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</si>
  <si>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</si>
  <si>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</si>
  <si>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</si>
  <si>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</si>
  <si>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</si>
  <si>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$B$19</t>
  </si>
  <si>
    <t>$B$20</t>
  </si>
  <si>
    <t>$B$21</t>
  </si>
  <si>
    <t>Base</t>
  </si>
  <si>
    <t>Creado por Gisela Gisela el 14/9/2026</t>
  </si>
  <si>
    <t>Optimista</t>
  </si>
  <si>
    <t>Pesimista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</si>
  <si>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</si>
  <si>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</si>
  <si>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</si>
  <si>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</si>
  <si>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</si>
  <si>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</si>
  <si>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</si>
  <si>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DASHBOARD EJECUTIVO DE VENTAS</t>
  </si>
  <si>
    <t>VENTAS TOTALES</t>
  </si>
  <si>
    <t>TICKET PROMEDIO</t>
  </si>
  <si>
    <t>CANTIDAD VENDIDA</t>
  </si>
  <si>
    <t>Cantidad Vendida</t>
  </si>
  <si>
    <t>enero</t>
  </si>
  <si>
    <t>febrero</t>
  </si>
  <si>
    <t>marzo</t>
  </si>
  <si>
    <t>abril</t>
  </si>
  <si>
    <t>junio</t>
  </si>
  <si>
    <t>septiembre</t>
  </si>
  <si>
    <t>octubre</t>
  </si>
  <si>
    <t>noviembre</t>
  </si>
  <si>
    <t>diciembre</t>
  </si>
  <si>
    <t>Ventas Totales</t>
  </si>
  <si>
    <t>Meta Ventas</t>
  </si>
  <si>
    <t>PRINCIPALES INSIGHTS</t>
  </si>
  <si>
    <t>VENTAS</t>
  </si>
  <si>
    <t>RENTABILIDAD</t>
  </si>
  <si>
    <t>CRECIMIENTO</t>
  </si>
  <si>
    <t>Las ventas muestran una concentración relevante en determinados segmentos, por lo que el desempeño general debe analizarse junto con la distribución por categoría y región.</t>
  </si>
  <si>
    <t>El margen permite evaluar si el crecimiento de las ventas se traduce en una mejora real de la rentabilidad, evitando analizar el desempeño únicamente por volumen vendido.</t>
  </si>
  <si>
    <t>La evolución interanual permite identificar si el desempeño observado responde a un crecimiento sostenido o a variaciones puntuales entre períodos.</t>
  </si>
  <si>
    <t>DOCUMENTACIÓN DEL USO DE INTELIGENCIA ARTIFICIAL</t>
  </si>
  <si>
    <t>Se utilizó ChatGPT como herramienta de apoyo para analizar críticamente el dashboard, detectar posibles sesgos o interpretaciones apresuradas y mejorar la comunicación de los principales hallazgos.</t>
  </si>
  <si>
    <t>PROMPTS UTILIZADOS</t>
  </si>
  <si>
    <t>Analizá este dashboard e identificá los principales hallazgos relacionados con ventas, rentabilidad y crecimiento. Señalá patrones relevantes que puedan transformarse en conclusiones para un reporte ejecutivo.</t>
  </si>
  <si>
    <t>Prompt 2 – Abogado del diablo</t>
  </si>
  <si>
    <t>Actuá como abogado del diablo y cuestioná las conclusiones obtenidas del dashboard. Identificá posibles sesgos, errores lógicos, explicaciones alternativas y variables omitidas que podrían modificar la interpretación de los resultados.</t>
  </si>
  <si>
    <t>APLICACIÓN DEL FEEDBACK DE IA</t>
  </si>
  <si>
    <t>A partir del análisis crítico, se evitó interpretar los indicadores de forma aislada. Se reforzó la lectura conjunta de ventas, margen y crecimiento, considerando además la segmentación por categoría y región. También se incorporó una sección de principales insights para comunicar los hallazgos sin presentar relaciones observadas como relaciones causales.</t>
  </si>
  <si>
    <t>RESULTADO DEL USO DE IA</t>
  </si>
  <si>
    <t>El uso de IA permitió revisar críticamente las interpretaciones iniciales y mejorar el storytelling del dashboard. La herramienta se utilizó como apoyo para cuestionar los resultados y explorar explicaciones alternativas, manteniendo el análisis y las decisiones finales bajo criterio propio.</t>
  </si>
  <si>
    <t>OBJETIVO DE USO DE  IA</t>
  </si>
  <si>
    <t>Prompt 1 – Analisis inicial del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</si>
</sst>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-2C0A]\ #,##0.00;[Red]\-[$$-2C0A]\ #,##0.00"/>
    <numFmt numFmtId="165" formatCode="\$\ #,##0.00;\-\$\ #,##0.00;\$\ #,##0.00"/>
    <numFmt numFmtId="166" formatCode="&quot;$&quot;\ #,##0.00"/>
    <numFmt numFmtId="167" formatCode="&quot;$&quot;\ #,##0"/>
    <numFmt numFmtId="168" formatCode="[$$-2C0A]\ #,##0.00"/>
    <numFmt numFmtId="169" formatCode="[$$-2C0A]\ #,##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0" fontId="1" fillId="0" borderId="1" xfId="0" applyNumberFormat="1" applyFont="1" applyBorder="1"/>
    <xf numFmtId="0" fontId="1" fillId="4" borderId="1" xfId="0" applyFont="1" applyFill="1" applyBorder="1" applyProtection="1">
      <protection locked="0"/>
    </xf>
    <xf numFmtId="9" fontId="1" fillId="4" borderId="1" xfId="0" applyNumberFormat="1" applyFont="1" applyFill="1" applyBorder="1" applyProtection="1">
      <protection locked="0"/>
    </xf>
    <xf numFmtId="0" fontId="1" fillId="0" borderId="1" xfId="0" applyFont="1" applyBorder="1" applyAlignment="1">
      <alignment horizontal="left"/>
    </xf>
    <xf numFmtId="0" fontId="1" fillId="5" borderId="1" xfId="0" applyFont="1" applyFill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4" fontId="0" fillId="0" borderId="0" xfId="0" applyNumberFormat="1"/>
    <xf numFmtId="0" fontId="0" fillId="0" borderId="8" xfId="0" applyBorder="1"/>
    <xf numFmtId="0" fontId="0" fillId="0" borderId="11" xfId="0" applyBorder="1"/>
    <xf numFmtId="0" fontId="0" fillId="0" borderId="12" xfId="0" applyBorder="1"/>
    <xf numFmtId="167" fontId="0" fillId="0" borderId="12" xfId="0" applyNumberFormat="1" applyBorder="1"/>
    <xf numFmtId="2" fontId="0" fillId="0" borderId="12" xfId="0" applyNumberFormat="1" applyBorder="1"/>
    <xf numFmtId="0" fontId="0" fillId="0" borderId="4" xfId="0" applyBorder="1"/>
    <xf numFmtId="0" fontId="0" fillId="0" borderId="5" xfId="0" applyBorder="1"/>
    <xf numFmtId="9" fontId="0" fillId="0" borderId="0" xfId="0" applyNumberFormat="1"/>
    <xf numFmtId="164" fontId="0" fillId="0" borderId="0" xfId="0" applyNumberFormat="1"/>
    <xf numFmtId="10" fontId="0" fillId="0" borderId="7" xfId="0" applyNumberFormat="1" applyBorder="1"/>
    <xf numFmtId="0" fontId="6" fillId="8" borderId="13" xfId="0" applyFont="1" applyFill="1" applyBorder="1" applyAlignment="1">
      <alignment horizontal="left"/>
    </xf>
    <xf numFmtId="0" fontId="6" fillId="8" borderId="6" xfId="0" applyFont="1" applyFill="1" applyBorder="1" applyAlignment="1">
      <alignment horizontal="left"/>
    </xf>
    <xf numFmtId="0" fontId="7" fillId="9" borderId="0" xfId="0" applyFont="1" applyFill="1" applyAlignment="1">
      <alignment horizontal="left"/>
    </xf>
    <xf numFmtId="0" fontId="8" fillId="9" borderId="8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/>
    </xf>
    <xf numFmtId="0" fontId="9" fillId="8" borderId="6" xfId="0" applyFont="1" applyFill="1" applyBorder="1" applyAlignment="1">
      <alignment horizontal="right"/>
    </xf>
    <xf numFmtId="0" fontId="9" fillId="8" borderId="13" xfId="0" applyFont="1" applyFill="1" applyBorder="1" applyAlignment="1">
      <alignment horizontal="right"/>
    </xf>
    <xf numFmtId="9" fontId="0" fillId="10" borderId="0" xfId="0" applyNumberFormat="1" applyFill="1"/>
    <xf numFmtId="0" fontId="10" fillId="0" borderId="0" xfId="0" applyFont="1" applyAlignment="1">
      <alignment vertical="top" wrapText="1"/>
    </xf>
    <xf numFmtId="0" fontId="12" fillId="0" borderId="1" xfId="0" pivotButton="1" applyFont="1" applyBorder="1"/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7" fontId="12" fillId="0" borderId="1" xfId="0" applyNumberFormat="1" applyFont="1" applyBorder="1"/>
    <xf numFmtId="0" fontId="11" fillId="2" borderId="1" xfId="0" applyFont="1" applyFill="1" applyBorder="1"/>
    <xf numFmtId="1" fontId="0" fillId="0" borderId="0" xfId="0" applyNumberFormat="1"/>
    <xf numFmtId="169" fontId="0" fillId="0" borderId="0" xfId="0" applyNumberFormat="1"/>
    <xf numFmtId="0" fontId="1" fillId="0" borderId="1" xfId="0" applyFont="1" applyBorder="1" applyAlignment="1">
      <alignment horizontal="center"/>
    </xf>
    <xf numFmtId="168" fontId="0" fillId="0" borderId="1" xfId="0" applyNumberFormat="1" applyBorder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8" fontId="2" fillId="3" borderId="17" xfId="0" applyNumberFormat="1" applyFont="1" applyFill="1" applyBorder="1" applyAlignment="1">
      <alignment horizontal="center" vertical="center"/>
    </xf>
    <xf numFmtId="168" fontId="2" fillId="3" borderId="0" xfId="0" applyNumberFormat="1" applyFont="1" applyFill="1" applyAlignment="1">
      <alignment horizontal="center" vertical="center"/>
    </xf>
    <xf numFmtId="168" fontId="2" fillId="3" borderId="18" xfId="0" applyNumberFormat="1" applyFont="1" applyFill="1" applyBorder="1" applyAlignment="1">
      <alignment horizontal="center" vertical="center"/>
    </xf>
    <xf numFmtId="168" fontId="2" fillId="3" borderId="19" xfId="0" applyNumberFormat="1" applyFont="1" applyFill="1" applyBorder="1" applyAlignment="1">
      <alignment horizontal="center" vertical="center"/>
    </xf>
    <xf numFmtId="168" fontId="2" fillId="3" borderId="13" xfId="0" applyNumberFormat="1" applyFont="1" applyFill="1" applyBorder="1" applyAlignment="1">
      <alignment horizontal="center" vertical="center"/>
    </xf>
    <xf numFmtId="168" fontId="2" fillId="3" borderId="2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11" borderId="14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7" fontId="1" fillId="6" borderId="4" xfId="0" applyNumberFormat="1" applyFont="1" applyFill="1" applyBorder="1" applyAlignment="1">
      <alignment horizontal="center"/>
    </xf>
    <xf numFmtId="167" fontId="1" fillId="6" borderId="5" xfId="0" applyNumberFormat="1" applyFont="1" applyFill="1" applyBorder="1" applyAlignment="1">
      <alignment horizontal="center"/>
    </xf>
    <xf numFmtId="166" fontId="1" fillId="6" borderId="4" xfId="0" applyNumberFormat="1" applyFont="1" applyFill="1" applyBorder="1" applyAlignment="1">
      <alignment horizontal="center"/>
    </xf>
    <xf numFmtId="166" fontId="1" fillId="6" borderId="5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5" fillId="7" borderId="9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1" fillId="14" borderId="0" xfId="0" applyFont="1" applyFill="1" applyAlignment="1">
      <alignment horizontal="left"/>
    </xf>
    <xf numFmtId="0" fontId="13" fillId="13" borderId="0" xfId="0" applyFont="1" applyFill="1" applyAlignment="1">
      <alignment horizontal="left"/>
    </xf>
    <xf numFmtId="0" fontId="13" fillId="12" borderId="0" xfId="0" applyFont="1" applyFill="1" applyAlignment="1">
      <alignment horizontal="center"/>
    </xf>
  </cellXfs>
  <cellStyles count="1">
    <cellStyle name="Normal" xfId="0" builtinId="0"/>
  </cellStyles>
  <dxfs count="39"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color rgb="FFFFFFFF"/>
      </font>
    </dxf>
    <dxf>
      <font>
        <color rgb="FFFFFFFF"/>
      </font>
    </dxf>
    <dxf>
      <font>
        <color rgb="FFFFFFFF"/>
      </font>
    </dxf>
    <dxf>
      <numFmt numFmtId="167" formatCode="&quot;$&quot;\ #,##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F4E79"/>
        </patternFill>
      </fill>
    </dxf>
    <dxf>
      <fill>
        <patternFill patternType="solid">
          <bgColor rgb="FF1F4E79"/>
        </patternFill>
      </fill>
    </dxf>
    <dxf>
      <fill>
        <patternFill patternType="solid">
          <bgColor rgb="FF1F4E79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1.xml"/><Relationship Id="rId26" Type="http://schemas.openxmlformats.org/officeDocument/2006/relationships/connections" Target="connections.xml"/><Relationship Id="rId39" Type="http://schemas.openxmlformats.org/officeDocument/2006/relationships/customXml" Target="../customXml/item8.xml"/><Relationship Id="rId21" Type="http://schemas.microsoft.com/office/2007/relationships/slicerCache" Target="slicerCaches/slicerCache4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openxmlformats.org/officeDocument/2006/relationships/sheetMetadata" Target="metadata.xml"/><Relationship Id="rId11" Type="http://schemas.openxmlformats.org/officeDocument/2006/relationships/pivotCacheDefinition" Target="pivotCache/pivotCacheDefinition2.xml"/><Relationship Id="rId24" Type="http://schemas.microsoft.com/office/2007/relationships/slicerCache" Target="slicerCaches/slicerCache7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2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microsoft.com/office/2007/relationships/slicerCache" Target="slicerCaches/slicerCache5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20" Type="http://schemas.microsoft.com/office/2007/relationships/slicerCache" Target="slicerCaches/slicerCache3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6.xml"/><Relationship Id="rId23" Type="http://schemas.microsoft.com/office/2007/relationships/slicerCache" Target="slicerCaches/slicerCache6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[TP9_Dashboard_Final_BianchiGisela.xlsx]Reporte_Ejecutivo!TablaDinámica1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por Región y Categoría</a:t>
            </a:r>
          </a:p>
        </c:rich>
      </c:tx>
      <c:layout>
        <c:manualLayout>
          <c:xMode val="edge"/>
          <c:yMode val="edge"/>
          <c:x val="0.33637389076365454"/>
          <c:y val="6.3926940639269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Reporte_Ejecutivo!$B$8:$B$9</c:f>
              <c:strCache>
                <c:ptCount val="1"/>
                <c:pt idx="0">
                  <c:v>Accesorios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Reporte_Ejecutivo!$A$10:$A$15</c:f>
              <c:strCache>
                <c:ptCount val="5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Oeste</c:v>
                </c:pt>
                <c:pt idx="4">
                  <c:v>Sur</c:v>
                </c:pt>
              </c:strCache>
            </c:strRef>
          </c:cat>
          <c:val>
            <c:numRef>
              <c:f>Reporte_Ejecutivo!$B$10:$B$15</c:f>
              <c:numCache>
                <c:formatCode>"$"\ #,##0</c:formatCode>
                <c:ptCount val="5"/>
                <c:pt idx="0">
                  <c:v>2643445</c:v>
                </c:pt>
                <c:pt idx="1">
                  <c:v>3836212</c:v>
                </c:pt>
                <c:pt idx="2">
                  <c:v>3527037</c:v>
                </c:pt>
                <c:pt idx="3">
                  <c:v>4415538</c:v>
                </c:pt>
                <c:pt idx="4">
                  <c:v>476150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F-4AD4-93BE-BA1601DBF0F1}"/>
            </c:ext>
          </c:extLst>
        </c:ser>
        <c:ser>
          <c:idx val="1"/>
          <c:order val="1"/>
          <c:tx>
            <c:strRef>
              <c:f>Reporte_Ejecutivo!$C$8:$C$9</c:f>
              <c:strCache>
                <c:ptCount val="1"/>
                <c:pt idx="0">
                  <c:v>Hogar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Reporte_Ejecutivo!$A$10:$A$15</c:f>
              <c:strCache>
                <c:ptCount val="5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Oeste</c:v>
                </c:pt>
                <c:pt idx="4">
                  <c:v>Sur</c:v>
                </c:pt>
              </c:strCache>
            </c:strRef>
          </c:cat>
          <c:val>
            <c:numRef>
              <c:f>Reporte_Ejecutivo!$C$10:$C$15</c:f>
              <c:numCache>
                <c:formatCode>"$"\ #,##0</c:formatCode>
                <c:ptCount val="5"/>
                <c:pt idx="0">
                  <c:v>5830297</c:v>
                </c:pt>
                <c:pt idx="1">
                  <c:v>2908326</c:v>
                </c:pt>
                <c:pt idx="2">
                  <c:v>3631844</c:v>
                </c:pt>
                <c:pt idx="3">
                  <c:v>1499922</c:v>
                </c:pt>
                <c:pt idx="4">
                  <c:v>3438418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E2-4C7E-BD00-09E360916678}"/>
            </c:ext>
          </c:extLst>
        </c:ser>
        <c:ser>
          <c:idx val="2"/>
          <c:order val="2"/>
          <c:tx>
            <c:strRef>
              <c:f>Reporte_Ejecutivo!$D$8:$D$9</c:f>
              <c:strCache>
                <c:ptCount val="1"/>
                <c:pt idx="0">
                  <c:v>Oficina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Reporte_Ejecutivo!$A$10:$A$15</c:f>
              <c:strCache>
                <c:ptCount val="5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Oeste</c:v>
                </c:pt>
                <c:pt idx="4">
                  <c:v>Sur</c:v>
                </c:pt>
              </c:strCache>
            </c:strRef>
          </c:cat>
          <c:val>
            <c:numRef>
              <c:f>Reporte_Ejecutivo!$D$10:$D$15</c:f>
              <c:numCache>
                <c:formatCode>"$"\ #,##0</c:formatCode>
                <c:ptCount val="5"/>
                <c:pt idx="0">
                  <c:v>2807550</c:v>
                </c:pt>
                <c:pt idx="1">
                  <c:v>5753642</c:v>
                </c:pt>
                <c:pt idx="2">
                  <c:v>2473112</c:v>
                </c:pt>
                <c:pt idx="3">
                  <c:v>4706318</c:v>
                </c:pt>
                <c:pt idx="4">
                  <c:v>4788001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E2-4C7E-BD00-09E360916678}"/>
            </c:ext>
          </c:extLst>
        </c:ser>
        <c:ser>
          <c:idx val="3"/>
          <c:order val="3"/>
          <c:tx>
            <c:strRef>
              <c:f>Reporte_Ejecutivo!$E$8:$E$9</c:f>
              <c:strCache>
                <c:ptCount val="1"/>
                <c:pt idx="0">
                  <c:v>Tecnología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Reporte_Ejecutivo!$A$10:$A$15</c:f>
              <c:strCache>
                <c:ptCount val="5"/>
                <c:pt idx="0">
                  <c:v>Centro</c:v>
                </c:pt>
                <c:pt idx="1">
                  <c:v>Este</c:v>
                </c:pt>
                <c:pt idx="2">
                  <c:v>Norte</c:v>
                </c:pt>
                <c:pt idx="3">
                  <c:v>Oeste</c:v>
                </c:pt>
                <c:pt idx="4">
                  <c:v>Sur</c:v>
                </c:pt>
              </c:strCache>
            </c:strRef>
          </c:cat>
          <c:val>
            <c:numRef>
              <c:f>Reporte_Ejecutivo!$E$10:$E$15</c:f>
              <c:numCache>
                <c:formatCode>"$"\ #,##0</c:formatCode>
                <c:ptCount val="5"/>
                <c:pt idx="0">
                  <c:v>37015431</c:v>
                </c:pt>
                <c:pt idx="1">
                  <c:v>12021840</c:v>
                </c:pt>
                <c:pt idx="3">
                  <c:v>15052318</c:v>
                </c:pt>
                <c:pt idx="4">
                  <c:v>27086238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E2-4C7E-BD00-09E360916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21728"/>
        <c:axId val="1365322976"/>
      </c:barChart>
      <c:catAx>
        <c:axId val="17202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5322976"/>
        <c:crosses val="autoZero"/>
        <c:auto val="1"/>
        <c:lblAlgn val="ctr"/>
        <c:lblOffset val="100"/>
        <c:noMultiLvlLbl val="0"/>
      </c:catAx>
      <c:valAx>
        <c:axId val="13653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Millones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021728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es-E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[TP9_Dashboard_Final_BianchiGisela.xlsx]Analisis_Modelo!TablaDinámica1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baseline="0"/>
              <a:t>Ventas y Ticket Promedio por Categoría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Analisis_Modelo!$B$3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Analisis_Modelo!$A$4:$A$8</c:f>
              <c:strCache>
                <c:ptCount val="4"/>
                <c:pt idx="0">
                  <c:v>Accesorios</c:v>
                </c:pt>
                <c:pt idx="1">
                  <c:v>Hogar</c:v>
                </c:pt>
                <c:pt idx="2">
                  <c:v>Oficina</c:v>
                </c:pt>
                <c:pt idx="3">
                  <c:v>Tecnología</c:v>
                </c:pt>
              </c:strCache>
            </c:strRef>
          </c:cat>
          <c:val>
            <c:numRef>
              <c:f>Analisis_Modelo!$B$4:$B$8</c:f>
              <c:numCache>
                <c:formatCode>\$\ #,##0.00;\-\$\ #,##0.00;\$\ #,##0.00</c:formatCode>
                <c:ptCount val="4"/>
                <c:pt idx="0">
                  <c:v>14898382</c:v>
                </c:pt>
                <c:pt idx="1">
                  <c:v>17308807</c:v>
                </c:pt>
                <c:pt idx="2">
                  <c:v>20528623</c:v>
                </c:pt>
                <c:pt idx="3">
                  <c:v>91175827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0-48EA-99F3-2956B116F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699055"/>
        <c:axId val="689515919"/>
      </c:barChart>
      <c:lineChart>
        <c:grouping val="standard"/>
        <c:varyColors val="0"/>
        <c:ser>
          <c:idx val="1"/>
          <c:order val="1"/>
          <c:tx>
            <c:strRef>
              <c:f>Analisis_Modelo!$C$3</c:f>
              <c:strCache>
                <c:ptCount val="1"/>
                <c:pt idx="0">
                  <c:v>Ticket Promedio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Analisis_Modelo!$A$4:$A$8</c:f>
              <c:strCache>
                <c:ptCount val="4"/>
                <c:pt idx="0">
                  <c:v>Accesorios</c:v>
                </c:pt>
                <c:pt idx="1">
                  <c:v>Hogar</c:v>
                </c:pt>
                <c:pt idx="2">
                  <c:v>Oficina</c:v>
                </c:pt>
                <c:pt idx="3">
                  <c:v>Tecnología</c:v>
                </c:pt>
              </c:strCache>
            </c:strRef>
          </c:cat>
          <c:val>
            <c:numRef>
              <c:f>Analisis_Modelo!$C$4:$C$8</c:f>
              <c:numCache>
                <c:formatCode>\$\ #,##0.00;\-\$\ #,##0.00;\$\ #,##0.00</c:formatCode>
                <c:ptCount val="4"/>
                <c:pt idx="0">
                  <c:v>513737.31034482759</c:v>
                </c:pt>
                <c:pt idx="1">
                  <c:v>910989.84210526315</c:v>
                </c:pt>
                <c:pt idx="2">
                  <c:v>892548.82608695654</c:v>
                </c:pt>
                <c:pt idx="3">
                  <c:v>3798992.7916666665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0-48EA-99F3-2956B116F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692095"/>
        <c:axId val="689526479"/>
      </c:lineChart>
      <c:catAx>
        <c:axId val="76869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15919"/>
        <c:crosses val="autoZero"/>
        <c:auto val="1"/>
        <c:lblAlgn val="ctr"/>
        <c:lblOffset val="100"/>
        <c:noMultiLvlLbl val="0"/>
      </c:catAx>
      <c:valAx>
        <c:axId val="6895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.00;\-\$\ #,##0.00;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699055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000" b="0" i="0" u="none" strike="noStrike" baseline="0"/>
                    <a:t>Ventas (millones $)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689526479"/>
        <c:scaling>
          <c:orientation val="minMax"/>
        </c:scaling>
        <c:delete val="0"/>
        <c:axPos val="r"/>
        <c:numFmt formatCode="\$\ #,##0.00;\-\$\ #,##0.00;\$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692095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000" b="0" i="0" u="none" strike="noStrike" baseline="0"/>
                    <a:t>Ticket Promedio (millones $)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768692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9526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03089386553947"/>
          <c:y val="0.73053186060075825"/>
          <c:w val="0.2109315880969424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[TP9_Dashboard_Final_BianchiGisela.xlsx]Aux_Dashboard!TablaDinámica3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sng" strike="noStrike" baseline="0"/>
              <a:t>Evolución mensual de las ventas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Aux_Dashboard!$R$2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Aux_Dashboard!$Q$3:$Q$12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junio</c:v>
                </c:pt>
                <c:pt idx="5">
                  <c:v>septiembre</c:v>
                </c:pt>
                <c:pt idx="6">
                  <c:v>octubre</c:v>
                </c:pt>
                <c:pt idx="7">
                  <c:v>noviembre</c:v>
                </c:pt>
                <c:pt idx="8">
                  <c:v>diciembre</c:v>
                </c:pt>
              </c:strCache>
            </c:strRef>
          </c:cat>
          <c:val>
            <c:numRef>
              <c:f>Aux_Dashboard!$R$3:$R$12</c:f>
              <c:numCache>
                <c:formatCode>\$\ #,##0.00;\-\$\ #,##0.00;\$\ #,##0.00</c:formatCode>
                <c:ptCount val="9"/>
                <c:pt idx="0">
                  <c:v>6429757</c:v>
                </c:pt>
                <c:pt idx="1">
                  <c:v>4199269</c:v>
                </c:pt>
                <c:pt idx="2">
                  <c:v>16621320</c:v>
                </c:pt>
                <c:pt idx="3">
                  <c:v>693055</c:v>
                </c:pt>
                <c:pt idx="4">
                  <c:v>900466</c:v>
                </c:pt>
                <c:pt idx="5">
                  <c:v>6356031</c:v>
                </c:pt>
                <c:pt idx="6">
                  <c:v>5155092</c:v>
                </c:pt>
                <c:pt idx="7">
                  <c:v>5733187</c:v>
                </c:pt>
                <c:pt idx="8">
                  <c:v>2208546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B-46E8-80D7-5A0445F43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519328"/>
        <c:axId val="350638624"/>
      </c:lineChart>
      <c:catAx>
        <c:axId val="378519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0638624"/>
        <c:crosses val="autoZero"/>
        <c:auto val="1"/>
        <c:lblAlgn val="ctr"/>
        <c:lblOffset val="100"/>
        <c:noMultiLvlLbl val="0"/>
      </c:catAx>
      <c:valAx>
        <c:axId val="3506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Ventas totales($)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851932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8.9840474486143768E-2"/>
                <c:y val="0.33053645116918845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ES" b="1">
                      <a:solidFill>
                        <a:srgbClr val="002060"/>
                      </a:solidFill>
                    </a:rPr>
                    <a:t>Millones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sng" strike="noStrike" baseline="0"/>
              <a:t>Cantidad vendida vs. facturación por producto</a:t>
            </a:r>
            <a:endParaRPr lang="es-ES" b="1" u="sng"/>
          </a:p>
        </c:rich>
      </c:tx>
      <c:layout>
        <c:manualLayout>
          <c:xMode val="edge"/>
          <c:yMode val="edge"/>
          <c:x val="0.23235753317720531"/>
          <c:y val="3.8975472893474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72125169817456E-3"/>
                  <c:y val="-4.4044053301396713E-2"/>
                </c:manualLayout>
              </c:layout>
              <c:tx>
                <c:rich>
                  <a:bodyPr/>
                  <a:lstStyle/>
                  <a:p>
                    <a:fld id="{850EACDB-F5A4-4DC4-B8A9-A18D2F6CD0C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5CE-4980-AF06-BCD26C575AFD}"/>
                </c:ext>
              </c:extLst>
            </c:dLbl>
            <c:dLbl>
              <c:idx val="1"/>
              <c:layout>
                <c:manualLayout>
                  <c:x val="-6.72125169817456E-3"/>
                  <c:y val="2.202202665069829E-2"/>
                </c:manualLayout>
              </c:layout>
              <c:tx>
                <c:rich>
                  <a:bodyPr/>
                  <a:lstStyle/>
                  <a:p>
                    <a:fld id="{B0A85E95-6BD1-4D65-B7D6-93761099311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5CE-4980-AF06-BCD26C575AFD}"/>
                </c:ext>
              </c:extLst>
            </c:dLbl>
            <c:dLbl>
              <c:idx val="2"/>
              <c:layout>
                <c:manualLayout>
                  <c:x val="-8.2147682889534769E-17"/>
                  <c:y val="1.1944781935695547E-2"/>
                </c:manualLayout>
              </c:layout>
              <c:tx>
                <c:rich>
                  <a:bodyPr/>
                  <a:lstStyle/>
                  <a:p>
                    <a:fld id="{70B4F19F-ABE1-41E8-80B7-38E13D46359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5CE-4980-AF06-BCD26C575AF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E0F10BE-FB7F-4B85-9125-09B86617C93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5CE-4980-AF06-BCD26C575AFD}"/>
                </c:ext>
              </c:extLst>
            </c:dLbl>
            <c:dLbl>
              <c:idx val="4"/>
              <c:layout>
                <c:manualLayout>
                  <c:x val="-6.3051702395963919E-3"/>
                  <c:y val="0"/>
                </c:manualLayout>
              </c:layout>
              <c:tx>
                <c:rich>
                  <a:bodyPr/>
                  <a:lstStyle/>
                  <a:p>
                    <a:fld id="{E44258FA-095E-4850-9C9D-CECDED49CD3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5CE-4980-AF06-BCD26C575AFD}"/>
                </c:ext>
              </c:extLst>
            </c:dLbl>
            <c:dLbl>
              <c:idx val="5"/>
              <c:layout>
                <c:manualLayout>
                  <c:x val="-1.4656955711557569E-2"/>
                  <c:y val="-1.6114113186832039E-2"/>
                </c:manualLayout>
              </c:layout>
              <c:tx>
                <c:rich>
                  <a:bodyPr/>
                  <a:lstStyle/>
                  <a:p>
                    <a:fld id="{4348692C-8B14-4663-89EF-DC29D5EBA66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5CE-4980-AF06-BCD26C575AFD}"/>
                </c:ext>
              </c:extLst>
            </c:dLbl>
            <c:dLbl>
              <c:idx val="6"/>
              <c:layout>
                <c:manualLayout>
                  <c:x val="-4.1073841444767384E-17"/>
                  <c:y val="0"/>
                </c:manualLayout>
              </c:layout>
              <c:tx>
                <c:rich>
                  <a:bodyPr/>
                  <a:lstStyle/>
                  <a:p>
                    <a:fld id="{6A9AD190-D65B-4F69-B13E-F2CC5A03600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5CE-4980-AF06-BCD26C575AF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A3844E1-E223-453E-A8DC-0E9A4C1894F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CE-4980-AF06-BCD26C575AFD}"/>
                </c:ext>
              </c:extLst>
            </c:dLbl>
            <c:dLbl>
              <c:idx val="8"/>
              <c:layout>
                <c:manualLayout>
                  <c:x val="-6.2500620587622778E-3"/>
                  <c:y val="1.3071895424836602E-2"/>
                </c:manualLayout>
              </c:layout>
              <c:tx>
                <c:rich>
                  <a:bodyPr/>
                  <a:lstStyle/>
                  <a:p>
                    <a:fld id="{9ADDBC22-7C95-4A1B-BC93-C42A8EEF4B5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5CE-4980-AF06-BCD26C575AF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F443FC5-4CF5-45D7-9DAB-6F66EC325F8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CE-4980-AF06-BCD26C575AF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48096C5-3D65-4B65-805A-A4E32031BEC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5CE-4980-AF06-BCD26C575A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[0]!Cantidad_Dinamica</c:f>
              <c:numCache>
                <c:formatCode>0</c:formatCode>
                <c:ptCount val="11"/>
                <c:pt idx="0">
                  <c:v>9</c:v>
                </c:pt>
                <c:pt idx="1">
                  <c:v>12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13</c:v>
                </c:pt>
                <c:pt idx="6">
                  <c:v>1</c:v>
                </c:pt>
                <c:pt idx="7">
                  <c:v>14</c:v>
                </c:pt>
                <c:pt idx="8">
                  <c:v>16</c:v>
                </c:pt>
                <c:pt idx="9">
                  <c:v>35</c:v>
                </c:pt>
                <c:pt idx="10">
                  <c:v>24</c:v>
                </c:pt>
              </c:numCache>
            </c:numRef>
          </c:xVal>
          <c:yVal>
            <c:numRef>
              <c:f>[0]!Ventas_Dinamicas</c:f>
              <c:numCache>
                <c:formatCode>[$$-2C0A]\ #,##0</c:formatCode>
                <c:ptCount val="11"/>
                <c:pt idx="0">
                  <c:v>1720225</c:v>
                </c:pt>
                <c:pt idx="1">
                  <c:v>3000588</c:v>
                </c:pt>
                <c:pt idx="2">
                  <c:v>422440</c:v>
                </c:pt>
                <c:pt idx="3">
                  <c:v>1034976</c:v>
                </c:pt>
                <c:pt idx="4">
                  <c:v>7377876</c:v>
                </c:pt>
                <c:pt idx="5">
                  <c:v>8380281</c:v>
                </c:pt>
                <c:pt idx="6">
                  <c:v>52349</c:v>
                </c:pt>
                <c:pt idx="7">
                  <c:v>9981426</c:v>
                </c:pt>
                <c:pt idx="8">
                  <c:v>11275848</c:v>
                </c:pt>
                <c:pt idx="9">
                  <c:v>2221005</c:v>
                </c:pt>
                <c:pt idx="10">
                  <c:v>2829709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Aux_Dashboard!$A$2:$A$17</c15:f>
                <c15:dlblRangeCache>
                  <c:ptCount val="16"/>
                  <c:pt idx="0">
                    <c:v>Archivador</c:v>
                  </c:pt>
                  <c:pt idx="1">
                    <c:v>Aspiradora</c:v>
                  </c:pt>
                  <c:pt idx="2">
                    <c:v>Auriculares</c:v>
                  </c:pt>
                  <c:pt idx="3">
                    <c:v>Calculadora</c:v>
                  </c:pt>
                  <c:pt idx="4">
                    <c:v>Monitor</c:v>
                  </c:pt>
                  <c:pt idx="5">
                    <c:v>Notebook</c:v>
                  </c:pt>
                  <c:pt idx="6">
                    <c:v>Silla</c:v>
                  </c:pt>
                  <c:pt idx="7">
                    <c:v>Smartphone</c:v>
                  </c:pt>
                  <c:pt idx="8">
                    <c:v>Tablet</c:v>
                  </c:pt>
                  <c:pt idx="9">
                    <c:v>Teclado</c:v>
                  </c:pt>
                  <c:pt idx="10">
                    <c:v>Ventilador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A5CE-4980-AF06-BCD26C575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443535"/>
        <c:axId val="672150399"/>
      </c:scatterChart>
      <c:valAx>
        <c:axId val="35744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baseline="0"/>
                  <a:t>Cantidad vendida (unidades)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2150399"/>
        <c:crosses val="autoZero"/>
        <c:crossBetween val="midCat"/>
      </c:valAx>
      <c:valAx>
        <c:axId val="67215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baseline="0"/>
                  <a:t>Ventas totales ($)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7443535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6.7010069434204608E-2"/>
                <c:y val="0.3829234972677595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ES" b="1">
                      <a:solidFill>
                        <a:srgbClr val="002060"/>
                      </a:solidFill>
                    </a:rPr>
                    <a:t>Millones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sng" strike="noStrike" baseline="0"/>
              <a:t>Relación entre cantidad vendida y facturación por producto</a:t>
            </a:r>
            <a:endParaRPr lang="es-ES" b="1" u="sng"/>
          </a:p>
        </c:rich>
      </c:tx>
      <c:layout>
        <c:manualLayout>
          <c:xMode val="edge"/>
          <c:yMode val="edge"/>
          <c:x val="0.23235753317720531"/>
          <c:y val="3.8975472893474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9E01646-39D8-401F-B8BE-46770179FB0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DF8-4455-B092-838B7FEE73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FF6D25-6145-4BB7-8577-F890543DAD4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DF8-4455-B092-838B7FEE73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52449F5-FF36-401E-9E14-CBF2C05CE64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DF8-4455-B092-838B7FEE73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84838E9-84A5-4F4A-8A66-15B37A230033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DF8-4455-B092-838B7FEE73D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BC6B44-45C5-449E-AB4B-F57B94F0FC9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DF8-4455-B092-838B7FEE73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B20988F-5F6B-4AD1-A2D4-A16C0720A5B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DF8-4455-B092-838B7FEE73D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FC85C29-B8CC-46FC-9747-CD120745D8D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DF8-4455-B092-838B7FEE73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6EF388-72F9-4F36-8EBD-85FE1FEF08E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DF8-4455-B092-838B7FEE73D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69637B9-70EC-4CC3-A0D1-CC4F8EC980C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DF8-4455-B092-838B7FEE73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70335A9-6C3E-413F-9B49-9BF9EF39E34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DF8-4455-B092-838B7FEE73D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024973F-38AA-4F0B-A6AE-B21CE730CF6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DF8-4455-B092-838B7FEE73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[0]!Cantidad_Dinamica</c:f>
              <c:numCache>
                <c:formatCode>0</c:formatCode>
                <c:ptCount val="11"/>
                <c:pt idx="0">
                  <c:v>9</c:v>
                </c:pt>
                <c:pt idx="1">
                  <c:v>12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13</c:v>
                </c:pt>
                <c:pt idx="6">
                  <c:v>1</c:v>
                </c:pt>
                <c:pt idx="7">
                  <c:v>14</c:v>
                </c:pt>
                <c:pt idx="8">
                  <c:v>16</c:v>
                </c:pt>
                <c:pt idx="9">
                  <c:v>35</c:v>
                </c:pt>
                <c:pt idx="10">
                  <c:v>24</c:v>
                </c:pt>
              </c:numCache>
            </c:numRef>
          </c:xVal>
          <c:yVal>
            <c:numRef>
              <c:f>[0]!Ventas_Dinamicas</c:f>
              <c:numCache>
                <c:formatCode>[$$-2C0A]\ #,##0</c:formatCode>
                <c:ptCount val="11"/>
                <c:pt idx="0">
                  <c:v>1720225</c:v>
                </c:pt>
                <c:pt idx="1">
                  <c:v>3000588</c:v>
                </c:pt>
                <c:pt idx="2">
                  <c:v>422440</c:v>
                </c:pt>
                <c:pt idx="3">
                  <c:v>1034976</c:v>
                </c:pt>
                <c:pt idx="4">
                  <c:v>7377876</c:v>
                </c:pt>
                <c:pt idx="5">
                  <c:v>8380281</c:v>
                </c:pt>
                <c:pt idx="6">
                  <c:v>52349</c:v>
                </c:pt>
                <c:pt idx="7">
                  <c:v>9981426</c:v>
                </c:pt>
                <c:pt idx="8">
                  <c:v>11275848</c:v>
                </c:pt>
                <c:pt idx="9">
                  <c:v>2221005</c:v>
                </c:pt>
                <c:pt idx="10">
                  <c:v>2829709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Aux_Dashboard!$A$2:$A$17</c15:f>
                <c15:dlblRangeCache>
                  <c:ptCount val="16"/>
                  <c:pt idx="0">
                    <c:v>Archivador</c:v>
                  </c:pt>
                  <c:pt idx="1">
                    <c:v>Aspiradora</c:v>
                  </c:pt>
                  <c:pt idx="2">
                    <c:v>Auriculares</c:v>
                  </c:pt>
                  <c:pt idx="3">
                    <c:v>Calculadora</c:v>
                  </c:pt>
                  <c:pt idx="4">
                    <c:v>Monitor</c:v>
                  </c:pt>
                  <c:pt idx="5">
                    <c:v>Notebook</c:v>
                  </c:pt>
                  <c:pt idx="6">
                    <c:v>Silla</c:v>
                  </c:pt>
                  <c:pt idx="7">
                    <c:v>Smartphone</c:v>
                  </c:pt>
                  <c:pt idx="8">
                    <c:v>Tablet</c:v>
                  </c:pt>
                  <c:pt idx="9">
                    <c:v>Teclado</c:v>
                  </c:pt>
                  <c:pt idx="10">
                    <c:v>Ventilador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DF8-4455-B092-838B7FEE7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443535"/>
        <c:axId val="672150399"/>
      </c:scatterChart>
      <c:valAx>
        <c:axId val="35744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2150399"/>
        <c:crosses val="autoZero"/>
        <c:crossBetween val="midCat"/>
      </c:valAx>
      <c:valAx>
        <c:axId val="67215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5744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167640</xdr:colOff>
      <xdr:row>6</xdr:row>
      <xdr:rowOff>53341</xdr:rowOff>
    </xdr:from>
    <xdr:to>
      <xdr:col>8</xdr:col>
      <xdr:colOff>358140</xdr:colOff>
      <xdr:row>15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">
              <a:extLst>
                <a:ext uri="{FF2B5EF4-FFF2-40B4-BE49-F238E27FC236}">
                  <a16:creationId xmlns:a16="http://schemas.microsoft.com/office/drawing/2014/main" id="{ECB53440-1B76-A0E6-E67F-B5DB8534B5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3740" y="914401"/>
              <a:ext cx="1775460" cy="1630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525780</xdr:colOff>
      <xdr:row>6</xdr:row>
      <xdr:rowOff>15241</xdr:rowOff>
    </xdr:from>
    <xdr:to>
      <xdr:col>10</xdr:col>
      <xdr:colOff>777240</xdr:colOff>
      <xdr:row>15</xdr:row>
      <xdr:rowOff>167641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3D002A27-1578-DB2F-E735-BFD1A5CD55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35340" y="1257301"/>
              <a:ext cx="1836420" cy="1798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739140</xdr:colOff>
      <xdr:row>17</xdr:row>
      <xdr:rowOff>7620</xdr:rowOff>
    </xdr:from>
    <xdr:to>
      <xdr:col>9</xdr:col>
      <xdr:colOff>236220</xdr:colOff>
      <xdr:row>33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C8E94A-021D-5D11-81BA-A0B519F86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929640</xdr:colOff>
      <xdr:row>0</xdr:row>
      <xdr:rowOff>1</xdr:rowOff>
    </xdr:from>
    <xdr:to>
      <xdr:col>5</xdr:col>
      <xdr:colOff>876300</xdr:colOff>
      <xdr:row>8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 1">
              <a:extLst>
                <a:ext uri="{FF2B5EF4-FFF2-40B4-BE49-F238E27FC236}">
                  <a16:creationId xmlns:a16="http://schemas.microsoft.com/office/drawing/2014/main" id="{7BD06A83-9497-CF5B-C0E4-24A70F5C80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1940" y="1"/>
              <a:ext cx="1798320" cy="1539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266700</xdr:colOff>
      <xdr:row>0</xdr:row>
      <xdr:rowOff>1</xdr:rowOff>
    </xdr:from>
    <xdr:to>
      <xdr:col>8</xdr:col>
      <xdr:colOff>373380</xdr:colOff>
      <xdr:row>9</xdr:row>
      <xdr:rowOff>121921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 1">
              <a:extLst>
                <a:ext uri="{FF2B5EF4-FFF2-40B4-BE49-F238E27FC236}">
                  <a16:creationId xmlns:a16="http://schemas.microsoft.com/office/drawing/2014/main" id="{FF0E9D7B-5FBD-E3A9-64DA-3DAF6E3FE7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0" y="1"/>
              <a:ext cx="1889760" cy="1767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53340</xdr:colOff>
      <xdr:row>10</xdr:row>
      <xdr:rowOff>22860</xdr:rowOff>
    </xdr:from>
    <xdr:to>
      <xdr:col>6</xdr:col>
      <xdr:colOff>563880</xdr:colOff>
      <xdr:row>25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3251E1-EDEB-780A-FE8D-C2C6CCC12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99060</xdr:colOff>
      <xdr:row>0</xdr:row>
      <xdr:rowOff>1</xdr:rowOff>
    </xdr:from>
    <xdr:to>
      <xdr:col>16</xdr:col>
      <xdr:colOff>359228</xdr:colOff>
      <xdr:row>11</xdr:row>
      <xdr:rowOff>21772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Nombre_Mes">
              <a:extLst>
                <a:ext uri="{FF2B5EF4-FFF2-40B4-BE49-F238E27FC236}">
                  <a16:creationId xmlns:a16="http://schemas.microsoft.com/office/drawing/2014/main" id="{FEB257AA-8A3F-7AAE-2402-5A4FDA9E16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32920" y="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97971</xdr:colOff>
      <xdr:row>11</xdr:row>
      <xdr:rowOff>57696</xdr:rowOff>
    </xdr:from>
    <xdr:to>
      <xdr:col>16</xdr:col>
      <xdr:colOff>359057</xdr:colOff>
      <xdr:row>19</xdr:row>
      <xdr:rowOff>88176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ia 2">
              <a:extLst>
                <a:ext uri="{FF2B5EF4-FFF2-40B4-BE49-F238E27FC236}">
                  <a16:creationId xmlns:a16="http://schemas.microsoft.com/office/drawing/2014/main" id="{88EDDDA3-6224-76A5-493B-42F85A750A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2044" y="2038896"/>
              <a:ext cx="1840504" cy="1471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91440</xdr:colOff>
      <xdr:row>19</xdr:row>
      <xdr:rowOff>137160</xdr:rowOff>
    </xdr:from>
    <xdr:to>
      <xdr:col>16</xdr:col>
      <xdr:colOff>352526</xdr:colOff>
      <xdr:row>29</xdr:row>
      <xdr:rowOff>86589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 2">
              <a:extLst>
                <a:ext uri="{FF2B5EF4-FFF2-40B4-BE49-F238E27FC236}">
                  <a16:creationId xmlns:a16="http://schemas.microsoft.com/office/drawing/2014/main" id="{506AE242-CF6A-7430-447B-B9397F920D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95513" y="3559233"/>
              <a:ext cx="1840504" cy="1750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30480</xdr:colOff>
      <xdr:row>7</xdr:row>
      <xdr:rowOff>41910</xdr:rowOff>
    </xdr:from>
    <xdr:to>
      <xdr:col>7</xdr:col>
      <xdr:colOff>7620</xdr:colOff>
      <xdr:row>26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A66053E-4452-EF6C-3EAC-98DE5F01E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7</xdr:row>
      <xdr:rowOff>0</xdr:rowOff>
    </xdr:from>
    <xdr:to>
      <xdr:col>13</xdr:col>
      <xdr:colOff>518160</xdr:colOff>
      <xdr:row>26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3C821C3-DB27-4A03-8B5F-860D6DFFC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3</xdr:row>
      <xdr:rowOff>133350</xdr:rowOff>
    </xdr:from>
    <xdr:to>
      <xdr:col>15</xdr:col>
      <xdr:colOff>548640</xdr:colOff>
      <xdr:row>24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6A3F3D-6A39-30B2-5379-DC263EC1B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716055092591" backgroundQuery="1" createdVersion="8" refreshedVersion="8" minRefreshableVersion="3" recordCount="0" supportSubquery="1" supportAdvancedDrill="1" xr:uid="{1E024C1A-E070-4E1A-9821-84A79D2AB03B}">
  <cacheSource type="external" connectionId="6"/>
  <cacheFields count="3">
    <cacheField name="[Datos_Crudos_Transacciones].[Region].[Region]" caption="Region" numFmtId="0" hierarchy="1" level="1">
      <sharedItems count="5">
        <s v="Centro"/>
        <s v="Este"/>
        <s v="Norte"/>
        <s v="Oeste"/>
        <s v="Sur"/>
      </sharedItems>
    </cacheField>
    <cacheField name="[Datos_Crudos_Transacciones].[Categoria].[Categoria]" caption="Categoria" numFmtId="0" hierarchy="2" level="1">
      <sharedItems count="4">
        <s v="Accesorios"/>
        <s v="Hogar"/>
        <s v="Oficina"/>
        <s v="Tecnología"/>
      </sharedItems>
    </cacheField>
    <cacheField name="[Measures].[Suma de Monto]" caption="Suma de Monto" numFmtId="0" hierarchy="20" level="32767"/>
  </cacheFields>
  <cacheHierarchies count="29">
    <cacheHierarchy uniqueName="[Datos_Crudos_Transacciones].[Fecha]" caption="Fecha" attribute="1" time="1" defaultMemberUniqueName="[Datos_Crudos_Transacciones].[Fecha].[All]" allUniqueName="[Datos_Crudos_Transacciones].[Fecha].[All]" dimensionUniqueName="[Datos_Crudos_Transacciones]" displayFolder="" count="0" memberValueDatatype="7" unbalanced="0"/>
    <cacheHierarchy uniqueName="[Datos_Crudos_Transacciones].[Region]" caption="Region" attribute="1" defaultMemberUniqueName="[Datos_Crudos_Transacciones].[Region].[All]" allUniqueName="[Datos_Crudos_Transacciones].[Region].[All]" dimensionUniqueName="[Datos_Crudos_Transacciones]" displayFolder="" count="2" memberValueDatatype="130" unbalanced="0">
      <fieldsUsage count="2">
        <fieldUsage x="-1"/>
        <fieldUsage x="0"/>
      </fieldsUsage>
    </cacheHierarchy>
    <cacheHierarchy uniqueName="[Datos_Crudos_Transacciones].[Categoria]" caption="Categoria" attribute="1" defaultMemberUniqueName="[Datos_Crudos_Transacciones].[Categoria].[All]" allUniqueName="[Datos_Crudos_Transacciones].[Categoria].[All]" dimensionUniqueName="[Datos_Crudos_Transacciones]" displayFolder="" count="2" memberValueDatatype="130" unbalanced="0">
      <fieldsUsage count="2">
        <fieldUsage x="-1"/>
        <fieldUsage x="1"/>
      </fieldsUsage>
    </cacheHierarchy>
    <cacheHierarchy uniqueName="[Datos_Crudos_Transacciones].[Producto]" caption="Producto" attribute="1" defaultMemberUniqueName="[Datos_Crudos_Transacciones].[Producto].[All]" allUniqueName="[Datos_Crudos_Transacciones].[Producto].[All]" dimensionUniqueName="[Datos_Crudos_Transacciones]" displayFolder="" count="0" memberValueDatatype="130" unbalanced="0"/>
    <cacheHierarchy uniqueName="[Datos_Crudos_Transacciones].[Cantidad]" caption="Cantidad" attribute="1" defaultMemberUniqueName="[Datos_Crudos_Transacciones].[Cantidad].[All]" allUniqueName="[Datos_Crudos_Transacciones].[Cantidad].[All]" dimensionUniqueName="[Datos_Crudos_Transacciones]" displayFolder="" count="0" memberValueDatatype="20" unbalanced="0"/>
    <cacheHierarchy uniqueName="[Datos_Crudos_Transacciones].[Precio_Unitario]" caption="Precio_Unitario" attribute="1" defaultMemberUniqueName="[Datos_Crudos_Transacciones].[Precio_Unitario].[All]" allUniqueName="[Datos_Crudos_Transacciones].[Precio_Unitario].[All]" dimensionUniqueName="[Datos_Crudos_Transacciones]" displayFolder="" count="0" memberValueDatatype="5" unbalanced="0"/>
    <cacheHierarchy uniqueName="[Datos_Crudos_Transacciones].[Monto]" caption="Monto" attribute="1" defaultMemberUniqueName="[Datos_Crudos_Transacciones].[Monto].[All]" allUniqueName="[Datos_Crudos_Transacciones].[Monto].[All]" dimensionUniqueName="[Datos_Crudos_Transacciones]" displayFolder="" count="0" memberValueDatatype="5" unbalanced="0"/>
    <cacheHierarchy uniqueName="[Datos_Crudos_Transacciones].[Cliente]" caption="Cliente" attribute="1" defaultMemberUniqueName="[Datos_Crudos_Transacciones].[Cliente].[All]" allUniqueName="[Datos_Crudos_Transacciones].[Cliente].[All]" dimensionUniqueName="[Datos_Crudos_Transacciones]" displayFolder="" count="0" memberValueDatatype="130" unbalanced="0"/>
    <cacheHierarchy uniqueName="[Datos_Crudos_Transacciones].[ID_Transaccion]" caption="ID_Transaccion" attribute="1" defaultMemberUniqueName="[Datos_Crudos_Transacciones].[ID_Transaccion].[All]" allUniqueName="[Datos_Crudos_Transacciones].[ID_Transaccion].[All]" dimensionUniqueName="[Datos_Crudos_Transacciones]" displayFolder="" count="0" memberValueDatatype="20" unbalanced="0"/>
    <cacheHierarchy uniqueName="[Datos_Crudos_Transacciones].[ID_Producto]" caption="ID_Producto" attribute="1" defaultMemberUniqueName="[Datos_Crudos_Transacciones].[ID_Producto].[All]" allUniqueName="[Datos_Crudos_Transacciones].[ID_Producto].[All]" dimensionUniqueName="[Datos_Crudos_Transacciones]" displayFolder="" count="0" memberValueDatatype="20" unbalanced="0"/>
    <cacheHierarchy uniqueName="[Datos_Crudos_Transacciones].[ID_Cliente]" caption="ID_Cliente" attribute="1" defaultMemberUniqueName="[Datos_Crudos_Transacciones].[ID_Cliente].[All]" allUniqueName="[Datos_Crudos_Transacciones].[ID_Cliente].[All]" dimensionUniqueName="[Datos_Crudos_Transacciones]" displayFolder="" count="0" memberValueDatatype="20" unbalanced="0"/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Nombre_Mes]" caption="Nombre_Mes" attribute="1" defaultMemberUniqueName="[Dim_Calendario].[Nombre_Mes].[All]" allUniqueName="[Dim_Calendario].[Nombre_Mes].[All]" dimensionUniqueName="[Dim_Calendario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Measures].[Suma de Monto]" caption="Suma de Monto" measure="1" displayFolder="" measureGroup="Datos_Crudos_Transaccion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Ventas]" caption="Total Ventas" measure="1" displayFolder="" measureGroup="Datos_Crudos_Transacciones" count="0"/>
    <cacheHierarchy uniqueName="[Measures].[Ticket Promedio]" caption="Ticket Promedio" measure="1" displayFolder="" measureGroup="Datos_Crudos_Transacciones" count="0"/>
    <cacheHierarchy uniqueName="[Measures].[Cantidad Vendida]" caption="Cantidad Vendida" measure="1" displayFolder="" measureGroup="Datos_Crudos_Transacciones" count="0"/>
    <cacheHierarchy uniqueName="[Measures].[__XL_Count Datos_Crudos_Transacciones]" caption="__XL_Count Datos_Crudos_Transacciones" measure="1" displayFolder="" measureGroup="Datos_Crudos_Transaccione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dimensions count="5">
    <dimension name="Datos_Crudos_Transacciones" uniqueName="[Datos_Crudos_Transacciones]" caption="Datos_Crudos_Transacciones"/>
    <dimension name="Dim_Calendario" uniqueName="[Dim_Calendario]" caption="Dim_Calendario"/>
    <dimension name="Dim_Clientes" uniqueName="[Dim_Clientes]" caption="Dim_Clientes"/>
    <dimension name="Dim_Productos" uniqueName="[Dim_Productos]" caption="Dim_Productos"/>
    <dimension measure="1" name="Measures" uniqueName="[Measures]" caption="Measures"/>
  </dimensions>
  <measureGroups count="4">
    <measureGroup name="Datos_Crudos_Transacciones" caption="Datos_Crudos_Transacciones"/>
    <measureGroup name="Dim_Calendario" caption="Dim_Calendario"/>
    <measureGroup name="Dim_Clientes" caption="Dim_Clientes"/>
    <measureGroup name="Dim_Productos" caption="Dim_Productos"/>
  </measureGroups>
  <maps count="7">
    <map measureGroup="0" dimension="0"/>
    <map measureGroup="0" dimension="1"/>
    <map measureGroup="0" dimension="2"/>
    <map measureGroup="0" dimension="3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71605787037" backgroundQuery="1" createdVersion="8" refreshedVersion="8" minRefreshableVersion="3" recordCount="0" supportSubquery="1" supportAdvancedDrill="1" xr:uid="{8463A530-5C35-4A0C-841C-9DFB178C3AFF}">
  <cacheSource type="external" connectionId="6"/>
  <cacheFields count="5">
    <cacheField name="[Dim_Productos].[Categoria].[Categoria]" caption="Categoria" numFmtId="0" hierarchy="19" level="1">
      <sharedItems count="4">
        <s v="Accesorios"/>
        <s v="Hogar"/>
        <s v="Oficina"/>
        <s v="Tecnología"/>
      </sharedItems>
    </cacheField>
    <cacheField name="[Measures].[Total Ventas]" caption="Total Ventas" numFmtId="0" hierarchy="21" level="32767"/>
    <cacheField name="[Measures].[Ticket Promedio]" caption="Ticket Promedio" numFmtId="0" hierarchy="22" level="32767"/>
    <cacheField name="[Dim_Calendario].[Nombre_Mes].[Nombre_Mes]" caption="Nombre_Mes" numFmtId="0" hierarchy="14" level="1">
      <sharedItems containsSemiMixedTypes="0" containsNonDate="0" containsString="0"/>
    </cacheField>
    <cacheField name="[Datos_Crudos_Transacciones].[Region].[Region]" caption="Region" numFmtId="0" hierarchy="1" level="1">
      <sharedItems containsSemiMixedTypes="0" containsNonDate="0" containsString="0"/>
    </cacheField>
  </cacheFields>
  <cacheHierarchies count="29">
    <cacheHierarchy uniqueName="[Datos_Crudos_Transacciones].[Fecha]" caption="Fecha" attribute="1" time="1" defaultMemberUniqueName="[Datos_Crudos_Transacciones].[Fecha].[All]" allUniqueName="[Datos_Crudos_Transacciones].[Fecha].[All]" dimensionUniqueName="[Datos_Crudos_Transacciones]" displayFolder="" count="0" memberValueDatatype="7" unbalanced="0"/>
    <cacheHierarchy uniqueName="[Datos_Crudos_Transacciones].[Region]" caption="Region" attribute="1" defaultMemberUniqueName="[Datos_Crudos_Transacciones].[Region].[All]" allUniqueName="[Datos_Crudos_Transacciones].[Region].[All]" dimensionUniqueName="[Datos_Crudos_Transacciones]" displayFolder="" count="2" memberValueDatatype="130" unbalanced="0">
      <fieldsUsage count="2">
        <fieldUsage x="-1"/>
        <fieldUsage x="4"/>
      </fieldsUsage>
    </cacheHierarchy>
    <cacheHierarchy uniqueName="[Datos_Crudos_Transacciones].[Categoria]" caption="Categoria" attribute="1" defaultMemberUniqueName="[Datos_Crudos_Transacciones].[Categoria].[All]" allUniqueName="[Datos_Crudos_Transacciones].[Categoria].[All]" dimensionUniqueName="[Datos_Crudos_Transacciones]" displayFolder="" count="0" memberValueDatatype="130" unbalanced="0"/>
    <cacheHierarchy uniqueName="[Datos_Crudos_Transacciones].[Producto]" caption="Producto" attribute="1" defaultMemberUniqueName="[Datos_Crudos_Transacciones].[Producto].[All]" allUniqueName="[Datos_Crudos_Transacciones].[Producto].[All]" dimensionUniqueName="[Datos_Crudos_Transacciones]" displayFolder="" count="0" memberValueDatatype="130" unbalanced="0"/>
    <cacheHierarchy uniqueName="[Datos_Crudos_Transacciones].[Cantidad]" caption="Cantidad" attribute="1" defaultMemberUniqueName="[Datos_Crudos_Transacciones].[Cantidad].[All]" allUniqueName="[Datos_Crudos_Transacciones].[Cantidad].[All]" dimensionUniqueName="[Datos_Crudos_Transacciones]" displayFolder="" count="0" memberValueDatatype="20" unbalanced="0"/>
    <cacheHierarchy uniqueName="[Datos_Crudos_Transacciones].[Precio_Unitario]" caption="Precio_Unitario" attribute="1" defaultMemberUniqueName="[Datos_Crudos_Transacciones].[Precio_Unitario].[All]" allUniqueName="[Datos_Crudos_Transacciones].[Precio_Unitario].[All]" dimensionUniqueName="[Datos_Crudos_Transacciones]" displayFolder="" count="0" memberValueDatatype="5" unbalanced="0"/>
    <cacheHierarchy uniqueName="[Datos_Crudos_Transacciones].[Monto]" caption="Monto" attribute="1" defaultMemberUniqueName="[Datos_Crudos_Transacciones].[Monto].[All]" allUniqueName="[Datos_Crudos_Transacciones].[Monto].[All]" dimensionUniqueName="[Datos_Crudos_Transacciones]" displayFolder="" count="0" memberValueDatatype="5" unbalanced="0"/>
    <cacheHierarchy uniqueName="[Datos_Crudos_Transacciones].[Cliente]" caption="Cliente" attribute="1" defaultMemberUniqueName="[Datos_Crudos_Transacciones].[Cliente].[All]" allUniqueName="[Datos_Crudos_Transacciones].[Cliente].[All]" dimensionUniqueName="[Datos_Crudos_Transacciones]" displayFolder="" count="0" memberValueDatatype="130" unbalanced="0"/>
    <cacheHierarchy uniqueName="[Datos_Crudos_Transacciones].[ID_Transaccion]" caption="ID_Transaccion" attribute="1" defaultMemberUniqueName="[Datos_Crudos_Transacciones].[ID_Transaccion].[All]" allUniqueName="[Datos_Crudos_Transacciones].[ID_Transaccion].[All]" dimensionUniqueName="[Datos_Crudos_Transacciones]" displayFolder="" count="0" memberValueDatatype="20" unbalanced="0"/>
    <cacheHierarchy uniqueName="[Datos_Crudos_Transacciones].[ID_Producto]" caption="ID_Producto" attribute="1" defaultMemberUniqueName="[Datos_Crudos_Transacciones].[ID_Producto].[All]" allUniqueName="[Datos_Crudos_Transacciones].[ID_Producto].[All]" dimensionUniqueName="[Datos_Crudos_Transacciones]" displayFolder="" count="0" memberValueDatatype="20" unbalanced="0"/>
    <cacheHierarchy uniqueName="[Datos_Crudos_Transacciones].[ID_Cliente]" caption="ID_Cliente" attribute="1" defaultMemberUniqueName="[Datos_Crudos_Transacciones].[ID_Cliente].[All]" allUniqueName="[Datos_Crudos_Transacciones].[ID_Cliente].[All]" dimensionUniqueName="[Datos_Crudos_Transacciones]" displayFolder="" count="0" memberValueDatatype="20" unbalanced="0"/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Nombre_Mes]" caption="Nombre_Mes" attribute="1" defaultMemberUniqueName="[Dim_Calendario].[Nombre_Mes].[All]" allUniqueName="[Dim_Calendario].[Nombre_Mes].[All]" dimensionUniqueName="[Dim_Calendario]" displayFolder="" count="2" memberValueDatatype="130" unbalanced="0">
      <fieldsUsage count="2">
        <fieldUsage x="-1"/>
        <fieldUsage x="3"/>
      </fieldsUsage>
    </cacheHierarchy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>
      <fieldsUsage count="2">
        <fieldUsage x="-1"/>
        <fieldUsage x="0"/>
      </fieldsUsage>
    </cacheHierarchy>
    <cacheHierarchy uniqueName="[Measures].[Suma de Monto]" caption="Suma de Monto" measure="1" displayFolder="" measureGroup="Datos_Crudos_Transaccion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Ventas]" caption="Total Ventas" measure="1" displayFolder="" measureGroup="Datos_Crudos_Transacciones" count="0" oneField="1">
      <fieldsUsage count="1">
        <fieldUsage x="1"/>
      </fieldsUsage>
    </cacheHierarchy>
    <cacheHierarchy uniqueName="[Measures].[Ticket Promedio]" caption="Ticket Promedio" measure="1" displayFolder="" measureGroup="Datos_Crudos_Transacciones" count="0" oneField="1">
      <fieldsUsage count="1">
        <fieldUsage x="2"/>
      </fieldsUsage>
    </cacheHierarchy>
    <cacheHierarchy uniqueName="[Measures].[Cantidad Vendida]" caption="Cantidad Vendida" measure="1" displayFolder="" measureGroup="Datos_Crudos_Transacciones" count="0"/>
    <cacheHierarchy uniqueName="[Measures].[__XL_Count Datos_Crudos_Transacciones]" caption="__XL_Count Datos_Crudos_Transacciones" measure="1" displayFolder="" measureGroup="Datos_Crudos_Transaccione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dimensions count="5">
    <dimension name="Datos_Crudos_Transacciones" uniqueName="[Datos_Crudos_Transacciones]" caption="Datos_Crudos_Transacciones"/>
    <dimension name="Dim_Calendario" uniqueName="[Dim_Calendario]" caption="Dim_Calendario"/>
    <dimension name="Dim_Clientes" uniqueName="[Dim_Clientes]" caption="Dim_Clientes"/>
    <dimension name="Dim_Productos" uniqueName="[Dim_Productos]" caption="Dim_Productos"/>
    <dimension measure="1" name="Measures" uniqueName="[Measures]" caption="Measures"/>
  </dimensions>
  <measureGroups count="4">
    <measureGroup name="Datos_Crudos_Transacciones" caption="Datos_Crudos_Transacciones"/>
    <measureGroup name="Dim_Calendario" caption="Dim_Calendario"/>
    <measureGroup name="Dim_Clientes" caption="Dim_Clientes"/>
    <measureGroup name="Dim_Productos" caption="Dim_Productos"/>
  </measureGroups>
  <maps count="7">
    <map measureGroup="0" dimension="0"/>
    <map measureGroup="0" dimension="1"/>
    <map measureGroup="0" dimension="2"/>
    <map measureGroup="0" dimension="3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71795416667" backgroundQuery="1" createdVersion="8" refreshedVersion="8" minRefreshableVersion="3" recordCount="0" supportSubquery="1" supportAdvancedDrill="1" xr:uid="{6D0B7E7B-9823-4D49-81FB-17C7D049E7B7}">
  <cacheSource type="external" connectionId="6"/>
  <cacheFields count="4">
    <cacheField name="[Dim_Productos].[Producto].[Producto]" caption="Producto" numFmtId="0" hierarchy="18" level="1">
      <sharedItems count="11">
        <s v="Archivador"/>
        <s v="Aspiradora"/>
        <s v="Auriculares"/>
        <s v="Calculadora"/>
        <s v="Monitor"/>
        <s v="Notebook"/>
        <s v="Silla"/>
        <s v="Smartphone"/>
        <s v="Tablet"/>
        <s v="Teclado"/>
        <s v="Ventilador"/>
      </sharedItems>
    </cacheField>
    <cacheField name="[Measures].[Cantidad Vendida]" caption="Cantidad Vendida" numFmtId="0" hierarchy="23" level="32767"/>
    <cacheField name="[Measures].[Total Ventas]" caption="Total Ventas" numFmtId="0" hierarchy="21" level="32767"/>
    <cacheField name="[Datos_Crudos_Transacciones].[Region].[Region]" caption="Region" numFmtId="0" hierarchy="1" level="1">
      <sharedItems containsSemiMixedTypes="0" containsNonDate="0" containsString="0"/>
    </cacheField>
  </cacheFields>
  <cacheHierarchies count="29">
    <cacheHierarchy uniqueName="[Datos_Crudos_Transacciones].[Fecha]" caption="Fecha" attribute="1" time="1" defaultMemberUniqueName="[Datos_Crudos_Transacciones].[Fecha].[All]" allUniqueName="[Datos_Crudos_Transacciones].[Fecha].[All]" dimensionUniqueName="[Datos_Crudos_Transacciones]" displayFolder="" count="0" memberValueDatatype="7" unbalanced="0"/>
    <cacheHierarchy uniqueName="[Datos_Crudos_Transacciones].[Region]" caption="Region" attribute="1" defaultMemberUniqueName="[Datos_Crudos_Transacciones].[Region].[All]" allUniqueName="[Datos_Crudos_Transacciones].[Region].[All]" dimensionUniqueName="[Datos_Crudos_Transacciones]" displayFolder="" count="2" memberValueDatatype="130" unbalanced="0">
      <fieldsUsage count="2">
        <fieldUsage x="-1"/>
        <fieldUsage x="3"/>
      </fieldsUsage>
    </cacheHierarchy>
    <cacheHierarchy uniqueName="[Datos_Crudos_Transacciones].[Categoria]" caption="Categoria" attribute="1" defaultMemberUniqueName="[Datos_Crudos_Transacciones].[Categoria].[All]" allUniqueName="[Datos_Crudos_Transacciones].[Categoria].[All]" dimensionUniqueName="[Datos_Crudos_Transacciones]" displayFolder="" count="2" memberValueDatatype="130" unbalanced="0"/>
    <cacheHierarchy uniqueName="[Datos_Crudos_Transacciones].[Producto]" caption="Producto" attribute="1" defaultMemberUniqueName="[Datos_Crudos_Transacciones].[Producto].[All]" allUniqueName="[Datos_Crudos_Transacciones].[Producto].[All]" dimensionUniqueName="[Datos_Crudos_Transacciones]" displayFolder="" count="0" memberValueDatatype="130" unbalanced="0"/>
    <cacheHierarchy uniqueName="[Datos_Crudos_Transacciones].[Cantidad]" caption="Cantidad" attribute="1" defaultMemberUniqueName="[Datos_Crudos_Transacciones].[Cantidad].[All]" allUniqueName="[Datos_Crudos_Transacciones].[Cantidad].[All]" dimensionUniqueName="[Datos_Crudos_Transacciones]" displayFolder="" count="0" memberValueDatatype="20" unbalanced="0"/>
    <cacheHierarchy uniqueName="[Datos_Crudos_Transacciones].[Precio_Unitario]" caption="Precio_Unitario" attribute="1" defaultMemberUniqueName="[Datos_Crudos_Transacciones].[Precio_Unitario].[All]" allUniqueName="[Datos_Crudos_Transacciones].[Precio_Unitario].[All]" dimensionUniqueName="[Datos_Crudos_Transacciones]" displayFolder="" count="0" memberValueDatatype="5" unbalanced="0"/>
    <cacheHierarchy uniqueName="[Datos_Crudos_Transacciones].[Monto]" caption="Monto" attribute="1" defaultMemberUniqueName="[Datos_Crudos_Transacciones].[Monto].[All]" allUniqueName="[Datos_Crudos_Transacciones].[Monto].[All]" dimensionUniqueName="[Datos_Crudos_Transacciones]" displayFolder="" count="0" memberValueDatatype="5" unbalanced="0"/>
    <cacheHierarchy uniqueName="[Datos_Crudos_Transacciones].[Cliente]" caption="Cliente" attribute="1" defaultMemberUniqueName="[Datos_Crudos_Transacciones].[Cliente].[All]" allUniqueName="[Datos_Crudos_Transacciones].[Cliente].[All]" dimensionUniqueName="[Datos_Crudos_Transacciones]" displayFolder="" count="0" memberValueDatatype="130" unbalanced="0"/>
    <cacheHierarchy uniqueName="[Datos_Crudos_Transacciones].[ID_Transaccion]" caption="ID_Transaccion" attribute="1" defaultMemberUniqueName="[Datos_Crudos_Transacciones].[ID_Transaccion].[All]" allUniqueName="[Datos_Crudos_Transacciones].[ID_Transaccion].[All]" dimensionUniqueName="[Datos_Crudos_Transacciones]" displayFolder="" count="0" memberValueDatatype="20" unbalanced="0"/>
    <cacheHierarchy uniqueName="[Datos_Crudos_Transacciones].[ID_Producto]" caption="ID_Producto" attribute="1" defaultMemberUniqueName="[Datos_Crudos_Transacciones].[ID_Producto].[All]" allUniqueName="[Datos_Crudos_Transacciones].[ID_Producto].[All]" dimensionUniqueName="[Datos_Crudos_Transacciones]" displayFolder="" count="0" memberValueDatatype="20" unbalanced="0"/>
    <cacheHierarchy uniqueName="[Datos_Crudos_Transacciones].[ID_Cliente]" caption="ID_Cliente" attribute="1" defaultMemberUniqueName="[Datos_Crudos_Transacciones].[ID_Cliente].[All]" allUniqueName="[Datos_Crudos_Transacciones].[ID_Cliente].[All]" dimensionUniqueName="[Datos_Crudos_Transacciones]" displayFolder="" count="0" memberValueDatatype="20" unbalanced="0"/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Nombre_Mes]" caption="Nombre_Mes" attribute="1" defaultMemberUniqueName="[Dim_Calendario].[Nombre_Mes].[All]" allUniqueName="[Dim_Calendario].[Nombre_Mes].[All]" dimensionUniqueName="[Dim_Calendario]" displayFolder="" count="2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2" memberValueDatatype="130" unbalanced="0">
      <fieldsUsage count="2">
        <fieldUsage x="-1"/>
        <fieldUsage x="0"/>
      </fieldsUsage>
    </cacheHierarchy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Measures].[Suma de Monto]" caption="Suma de Monto" measure="1" displayFolder="" measureGroup="Datos_Crudos_Transaccion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Ventas]" caption="Total Ventas" measure="1" displayFolder="" measureGroup="Datos_Crudos_Transacciones" count="0" oneField="1">
      <fieldsUsage count="1">
        <fieldUsage x="2"/>
      </fieldsUsage>
    </cacheHierarchy>
    <cacheHierarchy uniqueName="[Measures].[Ticket Promedio]" caption="Ticket Promedio" measure="1" displayFolder="" measureGroup="Datos_Crudos_Transacciones" count="0"/>
    <cacheHierarchy uniqueName="[Measures].[Cantidad Vendida]" caption="Cantidad Vendida" measure="1" displayFolder="" measureGroup="Datos_Crudos_Transacciones" count="0" oneField="1">
      <fieldsUsage count="1">
        <fieldUsage x="1"/>
      </fieldsUsage>
    </cacheHierarchy>
    <cacheHierarchy uniqueName="[Measures].[__XL_Count Datos_Crudos_Transacciones]" caption="__XL_Count Datos_Crudos_Transacciones" measure="1" displayFolder="" measureGroup="Datos_Crudos_Transaccione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dimensions count="5">
    <dimension name="Datos_Crudos_Transacciones" uniqueName="[Datos_Crudos_Transacciones]" caption="Datos_Crudos_Transacciones"/>
    <dimension name="Dim_Calendario" uniqueName="[Dim_Calendario]" caption="Dim_Calendario"/>
    <dimension name="Dim_Clientes" uniqueName="[Dim_Clientes]" caption="Dim_Clientes"/>
    <dimension name="Dim_Productos" uniqueName="[Dim_Productos]" caption="Dim_Productos"/>
    <dimension measure="1" name="Measures" uniqueName="[Measures]" caption="Measures"/>
  </dimensions>
  <measureGroups count="4">
    <measureGroup name="Datos_Crudos_Transacciones" caption="Datos_Crudos_Transacciones"/>
    <measureGroup name="Dim_Calendario" caption="Dim_Calendario"/>
    <measureGroup name="Dim_Clientes" caption="Dim_Clientes"/>
    <measureGroup name="Dim_Productos" caption="Dim_Productos"/>
  </measureGroups>
  <maps count="7">
    <map measureGroup="0" dimension="0"/>
    <map measureGroup="0" dimension="1"/>
    <map measureGroup="0" dimension="2"/>
    <map measureGroup="0" dimension="3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717954513886" backgroundQuery="1" createdVersion="8" refreshedVersion="8" minRefreshableVersion="3" recordCount="0" supportSubquery="1" supportAdvancedDrill="1" xr:uid="{CF1DA488-285D-4AA5-A346-1B7CADAD69DB}">
  <cacheSource type="external" connectionId="6"/>
  <cacheFields count="4">
    <cacheField name="[Measures].[Total Ventas]" caption="Total Ventas" numFmtId="0" hierarchy="21" level="32767"/>
    <cacheField name="[Measures].[Ticket Promedio]" caption="Ticket Promedio" numFmtId="0" hierarchy="22" level="32767"/>
    <cacheField name="[Measures].[Cantidad Vendida]" caption="Cantidad Vendida" numFmtId="0" hierarchy="23" level="32767"/>
    <cacheField name="[Datos_Crudos_Transacciones].[Region].[Region]" caption="Region" numFmtId="0" hierarchy="1" level="1">
      <sharedItems containsSemiMixedTypes="0" containsNonDate="0" containsString="0"/>
    </cacheField>
  </cacheFields>
  <cacheHierarchies count="29">
    <cacheHierarchy uniqueName="[Datos_Crudos_Transacciones].[Fecha]" caption="Fecha" attribute="1" time="1" defaultMemberUniqueName="[Datos_Crudos_Transacciones].[Fecha].[All]" allUniqueName="[Datos_Crudos_Transacciones].[Fecha].[All]" dimensionUniqueName="[Datos_Crudos_Transacciones]" displayFolder="" count="0" memberValueDatatype="7" unbalanced="0"/>
    <cacheHierarchy uniqueName="[Datos_Crudos_Transacciones].[Region]" caption="Region" attribute="1" defaultMemberUniqueName="[Datos_Crudos_Transacciones].[Region].[All]" allUniqueName="[Datos_Crudos_Transacciones].[Region].[All]" dimensionUniqueName="[Datos_Crudos_Transacciones]" displayFolder="" count="2" memberValueDatatype="130" unbalanced="0">
      <fieldsUsage count="2">
        <fieldUsage x="-1"/>
        <fieldUsage x="3"/>
      </fieldsUsage>
    </cacheHierarchy>
    <cacheHierarchy uniqueName="[Datos_Crudos_Transacciones].[Categoria]" caption="Categoria" attribute="1" defaultMemberUniqueName="[Datos_Crudos_Transacciones].[Categoria].[All]" allUniqueName="[Datos_Crudos_Transacciones].[Categoria].[All]" dimensionUniqueName="[Datos_Crudos_Transacciones]" displayFolder="" count="2" memberValueDatatype="130" unbalanced="0"/>
    <cacheHierarchy uniqueName="[Datos_Crudos_Transacciones].[Producto]" caption="Producto" attribute="1" defaultMemberUniqueName="[Datos_Crudos_Transacciones].[Producto].[All]" allUniqueName="[Datos_Crudos_Transacciones].[Producto].[All]" dimensionUniqueName="[Datos_Crudos_Transacciones]" displayFolder="" count="0" memberValueDatatype="130" unbalanced="0"/>
    <cacheHierarchy uniqueName="[Datos_Crudos_Transacciones].[Cantidad]" caption="Cantidad" attribute="1" defaultMemberUniqueName="[Datos_Crudos_Transacciones].[Cantidad].[All]" allUniqueName="[Datos_Crudos_Transacciones].[Cantidad].[All]" dimensionUniqueName="[Datos_Crudos_Transacciones]" displayFolder="" count="0" memberValueDatatype="20" unbalanced="0"/>
    <cacheHierarchy uniqueName="[Datos_Crudos_Transacciones].[Precio_Unitario]" caption="Precio_Unitario" attribute="1" defaultMemberUniqueName="[Datos_Crudos_Transacciones].[Precio_Unitario].[All]" allUniqueName="[Datos_Crudos_Transacciones].[Precio_Unitario].[All]" dimensionUniqueName="[Datos_Crudos_Transacciones]" displayFolder="" count="0" memberValueDatatype="5" unbalanced="0"/>
    <cacheHierarchy uniqueName="[Datos_Crudos_Transacciones].[Monto]" caption="Monto" attribute="1" defaultMemberUniqueName="[Datos_Crudos_Transacciones].[Monto].[All]" allUniqueName="[Datos_Crudos_Transacciones].[Monto].[All]" dimensionUniqueName="[Datos_Crudos_Transacciones]" displayFolder="" count="0" memberValueDatatype="5" unbalanced="0"/>
    <cacheHierarchy uniqueName="[Datos_Crudos_Transacciones].[Cliente]" caption="Cliente" attribute="1" defaultMemberUniqueName="[Datos_Crudos_Transacciones].[Cliente].[All]" allUniqueName="[Datos_Crudos_Transacciones].[Cliente].[All]" dimensionUniqueName="[Datos_Crudos_Transacciones]" displayFolder="" count="0" memberValueDatatype="130" unbalanced="0"/>
    <cacheHierarchy uniqueName="[Datos_Crudos_Transacciones].[ID_Transaccion]" caption="ID_Transaccion" attribute="1" defaultMemberUniqueName="[Datos_Crudos_Transacciones].[ID_Transaccion].[All]" allUniqueName="[Datos_Crudos_Transacciones].[ID_Transaccion].[All]" dimensionUniqueName="[Datos_Crudos_Transacciones]" displayFolder="" count="0" memberValueDatatype="20" unbalanced="0"/>
    <cacheHierarchy uniqueName="[Datos_Crudos_Transacciones].[ID_Producto]" caption="ID_Producto" attribute="1" defaultMemberUniqueName="[Datos_Crudos_Transacciones].[ID_Producto].[All]" allUniqueName="[Datos_Crudos_Transacciones].[ID_Producto].[All]" dimensionUniqueName="[Datos_Crudos_Transacciones]" displayFolder="" count="0" memberValueDatatype="20" unbalanced="0"/>
    <cacheHierarchy uniqueName="[Datos_Crudos_Transacciones].[ID_Cliente]" caption="ID_Cliente" attribute="1" defaultMemberUniqueName="[Datos_Crudos_Transacciones].[ID_Cliente].[All]" allUniqueName="[Datos_Crudos_Transacciones].[ID_Cliente].[All]" dimensionUniqueName="[Datos_Crudos_Transacciones]" displayFolder="" count="0" memberValueDatatype="20" unbalanced="0"/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Nombre_Mes]" caption="Nombre_Mes" attribute="1" defaultMemberUniqueName="[Dim_Calendario].[Nombre_Mes].[All]" allUniqueName="[Dim_Calendario].[Nombre_Mes].[All]" dimensionUniqueName="[Dim_Calendario]" displayFolder="" count="2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Measures].[Suma de Monto]" caption="Suma de Monto" measure="1" displayFolder="" measureGroup="Datos_Crudos_Transaccion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Ventas]" caption="Total Ventas" measure="1" displayFolder="" measureGroup="Datos_Crudos_Transacciones" count="0" oneField="1">
      <fieldsUsage count="1">
        <fieldUsage x="0"/>
      </fieldsUsage>
    </cacheHierarchy>
    <cacheHierarchy uniqueName="[Measures].[Ticket Promedio]" caption="Ticket Promedio" measure="1" displayFolder="" measureGroup="Datos_Crudos_Transacciones" count="0" oneField="1">
      <fieldsUsage count="1">
        <fieldUsage x="1"/>
      </fieldsUsage>
    </cacheHierarchy>
    <cacheHierarchy uniqueName="[Measures].[Cantidad Vendida]" caption="Cantidad Vendida" measure="1" displayFolder="" measureGroup="Datos_Crudos_Transacciones" count="0" oneField="1">
      <fieldsUsage count="1">
        <fieldUsage x="2"/>
      </fieldsUsage>
    </cacheHierarchy>
    <cacheHierarchy uniqueName="[Measures].[__XL_Count Datos_Crudos_Transacciones]" caption="__XL_Count Datos_Crudos_Transacciones" measure="1" displayFolder="" measureGroup="Datos_Crudos_Transaccione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dimensions count="5">
    <dimension name="Datos_Crudos_Transacciones" uniqueName="[Datos_Crudos_Transacciones]" caption="Datos_Crudos_Transacciones"/>
    <dimension name="Dim_Calendario" uniqueName="[Dim_Calendario]" caption="Dim_Calendario"/>
    <dimension name="Dim_Clientes" uniqueName="[Dim_Clientes]" caption="Dim_Clientes"/>
    <dimension name="Dim_Productos" uniqueName="[Dim_Productos]" caption="Dim_Productos"/>
    <dimension measure="1" name="Measures" uniqueName="[Measures]" caption="Measures"/>
  </dimensions>
  <measureGroups count="4">
    <measureGroup name="Datos_Crudos_Transacciones" caption="Datos_Crudos_Transacciones"/>
    <measureGroup name="Dim_Calendario" caption="Dim_Calendario"/>
    <measureGroup name="Dim_Clientes" caption="Dim_Clientes"/>
    <measureGroup name="Dim_Productos" caption="Dim_Productos"/>
  </measureGroups>
  <maps count="7">
    <map measureGroup="0" dimension="0"/>
    <map measureGroup="0" dimension="1"/>
    <map measureGroup="0" dimension="2"/>
    <map measureGroup="0" dimension="3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717954861109" backgroundQuery="1" createdVersion="8" refreshedVersion="8" minRefreshableVersion="3" recordCount="0" supportSubquery="1" supportAdvancedDrill="1" xr:uid="{08238BC5-7CD1-4FCE-B162-8CB02C58393C}">
  <cacheSource type="external" connectionId="6"/>
  <cacheFields count="3">
    <cacheField name="[Dim_Calendario].[Nombre_Mes].[Nombre_Mes]" caption="Nombre_Mes" numFmtId="0" hierarchy="14" level="1">
      <sharedItems count="9">
        <s v="enero"/>
        <s v="febrero"/>
        <s v="marzo"/>
        <s v="abril"/>
        <s v="junio"/>
        <s v="septiembre"/>
        <s v="octubre"/>
        <s v="noviembre"/>
        <s v="diciembre"/>
      </sharedItems>
    </cacheField>
    <cacheField name="[Measures].[Total Ventas]" caption="Total Ventas" numFmtId="0" hierarchy="21" level="32767"/>
    <cacheField name="[Datos_Crudos_Transacciones].[Region].[Region]" caption="Region" numFmtId="0" hierarchy="1" level="1">
      <sharedItems containsSemiMixedTypes="0" containsNonDate="0" containsString="0"/>
    </cacheField>
  </cacheFields>
  <cacheHierarchies count="29">
    <cacheHierarchy uniqueName="[Datos_Crudos_Transacciones].[Fecha]" caption="Fecha" attribute="1" time="1" defaultMemberUniqueName="[Datos_Crudos_Transacciones].[Fecha].[All]" allUniqueName="[Datos_Crudos_Transacciones].[Fecha].[All]" dimensionUniqueName="[Datos_Crudos_Transacciones]" displayFolder="" count="0" memberValueDatatype="7" unbalanced="0"/>
    <cacheHierarchy uniqueName="[Datos_Crudos_Transacciones].[Region]" caption="Region" attribute="1" defaultMemberUniqueName="[Datos_Crudos_Transacciones].[Region].[All]" allUniqueName="[Datos_Crudos_Transacciones].[Region].[All]" dimensionUniqueName="[Datos_Crudos_Transacciones]" displayFolder="" count="2" memberValueDatatype="130" unbalanced="0">
      <fieldsUsage count="2">
        <fieldUsage x="-1"/>
        <fieldUsage x="2"/>
      </fieldsUsage>
    </cacheHierarchy>
    <cacheHierarchy uniqueName="[Datos_Crudos_Transacciones].[Categoria]" caption="Categoria" attribute="1" defaultMemberUniqueName="[Datos_Crudos_Transacciones].[Categoria].[All]" allUniqueName="[Datos_Crudos_Transacciones].[Categoria].[All]" dimensionUniqueName="[Datos_Crudos_Transacciones]" displayFolder="" count="2" memberValueDatatype="130" unbalanced="0"/>
    <cacheHierarchy uniqueName="[Datos_Crudos_Transacciones].[Producto]" caption="Producto" attribute="1" defaultMemberUniqueName="[Datos_Crudos_Transacciones].[Producto].[All]" allUniqueName="[Datos_Crudos_Transacciones].[Producto].[All]" dimensionUniqueName="[Datos_Crudos_Transacciones]" displayFolder="" count="0" memberValueDatatype="130" unbalanced="0"/>
    <cacheHierarchy uniqueName="[Datos_Crudos_Transacciones].[Cantidad]" caption="Cantidad" attribute="1" defaultMemberUniqueName="[Datos_Crudos_Transacciones].[Cantidad].[All]" allUniqueName="[Datos_Crudos_Transacciones].[Cantidad].[All]" dimensionUniqueName="[Datos_Crudos_Transacciones]" displayFolder="" count="0" memberValueDatatype="20" unbalanced="0"/>
    <cacheHierarchy uniqueName="[Datos_Crudos_Transacciones].[Precio_Unitario]" caption="Precio_Unitario" attribute="1" defaultMemberUniqueName="[Datos_Crudos_Transacciones].[Precio_Unitario].[All]" allUniqueName="[Datos_Crudos_Transacciones].[Precio_Unitario].[All]" dimensionUniqueName="[Datos_Crudos_Transacciones]" displayFolder="" count="0" memberValueDatatype="5" unbalanced="0"/>
    <cacheHierarchy uniqueName="[Datos_Crudos_Transacciones].[Monto]" caption="Monto" attribute="1" defaultMemberUniqueName="[Datos_Crudos_Transacciones].[Monto].[All]" allUniqueName="[Datos_Crudos_Transacciones].[Monto].[All]" dimensionUniqueName="[Datos_Crudos_Transacciones]" displayFolder="" count="0" memberValueDatatype="5" unbalanced="0"/>
    <cacheHierarchy uniqueName="[Datos_Crudos_Transacciones].[Cliente]" caption="Cliente" attribute="1" defaultMemberUniqueName="[Datos_Crudos_Transacciones].[Cliente].[All]" allUniqueName="[Datos_Crudos_Transacciones].[Cliente].[All]" dimensionUniqueName="[Datos_Crudos_Transacciones]" displayFolder="" count="0" memberValueDatatype="130" unbalanced="0"/>
    <cacheHierarchy uniqueName="[Datos_Crudos_Transacciones].[ID_Transaccion]" caption="ID_Transaccion" attribute="1" defaultMemberUniqueName="[Datos_Crudos_Transacciones].[ID_Transaccion].[All]" allUniqueName="[Datos_Crudos_Transacciones].[ID_Transaccion].[All]" dimensionUniqueName="[Datos_Crudos_Transacciones]" displayFolder="" count="0" memberValueDatatype="20" unbalanced="0"/>
    <cacheHierarchy uniqueName="[Datos_Crudos_Transacciones].[ID_Producto]" caption="ID_Producto" attribute="1" defaultMemberUniqueName="[Datos_Crudos_Transacciones].[ID_Producto].[All]" allUniqueName="[Datos_Crudos_Transacciones].[ID_Producto].[All]" dimensionUniqueName="[Datos_Crudos_Transacciones]" displayFolder="" count="0" memberValueDatatype="20" unbalanced="0"/>
    <cacheHierarchy uniqueName="[Datos_Crudos_Transacciones].[ID_Cliente]" caption="ID_Cliente" attribute="1" defaultMemberUniqueName="[Datos_Crudos_Transacciones].[ID_Cliente].[All]" allUniqueName="[Datos_Crudos_Transacciones].[ID_Cliente].[All]" dimensionUniqueName="[Datos_Crudos_Transacciones]" displayFolder="" count="0" memberValueDatatype="20" unbalanced="0"/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Nombre_Mes]" caption="Nombre_Mes" attribute="1" defaultMemberUniqueName="[Dim_Calendario].[Nombre_Mes].[All]" allUniqueName="[Dim_Calendario].[Nombre_Mes].[All]" dimensionUniqueName="[Dim_Calendario]" displayFolder="" count="2" memberValueDatatype="130" unbalanced="0">
      <fieldsUsage count="2">
        <fieldUsage x="-1"/>
        <fieldUsage x="0"/>
      </fieldsUsage>
    </cacheHierarchy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Measures].[Suma de Monto]" caption="Suma de Monto" measure="1" displayFolder="" measureGroup="Datos_Crudos_Transaccion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Ventas]" caption="Total Ventas" measure="1" displayFolder="" measureGroup="Datos_Crudos_Transacciones" count="0" oneField="1">
      <fieldsUsage count="1">
        <fieldUsage x="1"/>
      </fieldsUsage>
    </cacheHierarchy>
    <cacheHierarchy uniqueName="[Measures].[Ticket Promedio]" caption="Ticket Promedio" measure="1" displayFolder="" measureGroup="Datos_Crudos_Transacciones" count="0"/>
    <cacheHierarchy uniqueName="[Measures].[Cantidad Vendida]" caption="Cantidad Vendida" measure="1" displayFolder="" measureGroup="Datos_Crudos_Transacciones" count="0"/>
    <cacheHierarchy uniqueName="[Measures].[__XL_Count Datos_Crudos_Transacciones]" caption="__XL_Count Datos_Crudos_Transacciones" measure="1" displayFolder="" measureGroup="Datos_Crudos_Transaccione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dimensions count="5">
    <dimension name="Datos_Crudos_Transacciones" uniqueName="[Datos_Crudos_Transacciones]" caption="Datos_Crudos_Transacciones"/>
    <dimension name="Dim_Calendario" uniqueName="[Dim_Calendario]" caption="Dim_Calendario"/>
    <dimension name="Dim_Clientes" uniqueName="[Dim_Clientes]" caption="Dim_Clientes"/>
    <dimension name="Dim_Productos" uniqueName="[Dim_Productos]" caption="Dim_Productos"/>
    <dimension measure="1" name="Measures" uniqueName="[Measures]" caption="Measures"/>
  </dimensions>
  <measureGroups count="4">
    <measureGroup name="Datos_Crudos_Transacciones" caption="Datos_Crudos_Transacciones"/>
    <measureGroup name="Dim_Calendario" caption="Dim_Calendario"/>
    <measureGroup name="Dim_Clientes" caption="Dim_Clientes"/>
    <measureGroup name="Dim_Productos" caption="Dim_Productos"/>
  </measureGroups>
  <maps count="7">
    <map measureGroup="0" dimension="0"/>
    <map measureGroup="0" dimension="1"/>
    <map measureGroup="0" dimension="2"/>
    <map measureGroup="0" dimension="3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716048148148" backgroundQuery="1" createdVersion="3" refreshedVersion="8" minRefreshableVersion="3" recordCount="0" supportSubquery="1" supportAdvancedDrill="1" xr:uid="{4B76DEAB-25D2-441D-8D68-CFBC3549F044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9">
    <cacheHierarchy uniqueName="[Datos_Crudos_Transacciones].[Fecha]" caption="Fecha" attribute="1" time="1" defaultMemberUniqueName="[Datos_Crudos_Transacciones].[Fecha].[All]" allUniqueName="[Datos_Crudos_Transacciones].[Fecha].[All]" dimensionUniqueName="[Datos_Crudos_Transacciones]" displayFolder="" count="0" memberValueDatatype="7" unbalanced="0"/>
    <cacheHierarchy uniqueName="[Datos_Crudos_Transacciones].[Region]" caption="Region" attribute="1" defaultMemberUniqueName="[Datos_Crudos_Transacciones].[Region].[All]" allUniqueName="[Datos_Crudos_Transacciones].[Region].[All]" dimensionUniqueName="[Datos_Crudos_Transacciones]" displayFolder="" count="2" memberValueDatatype="130" unbalanced="0"/>
    <cacheHierarchy uniqueName="[Datos_Crudos_Transacciones].[Categoria]" caption="Categoria" attribute="1" defaultMemberUniqueName="[Datos_Crudos_Transacciones].[Categoria].[All]" allUniqueName="[Datos_Crudos_Transacciones].[Categoria].[All]" dimensionUniqueName="[Datos_Crudos_Transacciones]" displayFolder="" count="2" memberValueDatatype="130" unbalanced="0"/>
    <cacheHierarchy uniqueName="[Datos_Crudos_Transacciones].[Producto]" caption="Producto" attribute="1" defaultMemberUniqueName="[Datos_Crudos_Transacciones].[Producto].[All]" allUniqueName="[Datos_Crudos_Transacciones].[Producto].[All]" dimensionUniqueName="[Datos_Crudos_Transacciones]" displayFolder="" count="0" memberValueDatatype="130" unbalanced="0"/>
    <cacheHierarchy uniqueName="[Datos_Crudos_Transacciones].[Cantidad]" caption="Cantidad" attribute="1" defaultMemberUniqueName="[Datos_Crudos_Transacciones].[Cantidad].[All]" allUniqueName="[Datos_Crudos_Transacciones].[Cantidad].[All]" dimensionUniqueName="[Datos_Crudos_Transacciones]" displayFolder="" count="0" memberValueDatatype="20" unbalanced="0"/>
    <cacheHierarchy uniqueName="[Datos_Crudos_Transacciones].[Precio_Unitario]" caption="Precio_Unitario" attribute="1" defaultMemberUniqueName="[Datos_Crudos_Transacciones].[Precio_Unitario].[All]" allUniqueName="[Datos_Crudos_Transacciones].[Precio_Unitario].[All]" dimensionUniqueName="[Datos_Crudos_Transacciones]" displayFolder="" count="0" memberValueDatatype="5" unbalanced="0"/>
    <cacheHierarchy uniqueName="[Datos_Crudos_Transacciones].[Monto]" caption="Monto" attribute="1" defaultMemberUniqueName="[Datos_Crudos_Transacciones].[Monto].[All]" allUniqueName="[Datos_Crudos_Transacciones].[Monto].[All]" dimensionUniqueName="[Datos_Crudos_Transacciones]" displayFolder="" count="0" memberValueDatatype="5" unbalanced="0"/>
    <cacheHierarchy uniqueName="[Datos_Crudos_Transacciones].[Cliente]" caption="Cliente" attribute="1" defaultMemberUniqueName="[Datos_Crudos_Transacciones].[Cliente].[All]" allUniqueName="[Datos_Crudos_Transacciones].[Cliente].[All]" dimensionUniqueName="[Datos_Crudos_Transacciones]" displayFolder="" count="0" memberValueDatatype="130" unbalanced="0"/>
    <cacheHierarchy uniqueName="[Datos_Crudos_Transacciones].[ID_Transaccion]" caption="ID_Transaccion" attribute="1" defaultMemberUniqueName="[Datos_Crudos_Transacciones].[ID_Transaccion].[All]" allUniqueName="[Datos_Crudos_Transacciones].[ID_Transaccion].[All]" dimensionUniqueName="[Datos_Crudos_Transacciones]" displayFolder="" count="0" memberValueDatatype="20" unbalanced="0"/>
    <cacheHierarchy uniqueName="[Datos_Crudos_Transacciones].[ID_Producto]" caption="ID_Producto" attribute="1" defaultMemberUniqueName="[Datos_Crudos_Transacciones].[ID_Producto].[All]" allUniqueName="[Datos_Crudos_Transacciones].[ID_Producto].[All]" dimensionUniqueName="[Datos_Crudos_Transacciones]" displayFolder="" count="0" memberValueDatatype="20" unbalanced="0"/>
    <cacheHierarchy uniqueName="[Datos_Crudos_Transacciones].[ID_Cliente]" caption="ID_Cliente" attribute="1" defaultMemberUniqueName="[Datos_Crudos_Transacciones].[ID_Cliente].[All]" allUniqueName="[Datos_Crudos_Transacciones].[ID_Cliente].[All]" dimensionUniqueName="[Datos_Crudos_Transacciones]" displayFolder="" count="0" memberValueDatatype="20" unbalanced="0"/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Nombre_Mes]" caption="Nombre_Mes" attribute="1" defaultMemberUniqueName="[Dim_Calendario].[Nombre_Mes].[All]" allUniqueName="[Dim_Calendario].[Nombre_Mes].[All]" dimensionUniqueName="[Dim_Calendario]" displayFolder="" count="2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Measures].[Suma de Monto]" caption="Suma de Monto" measure="1" displayFolder="" measureGroup="Datos_Crudos_Transaccion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Ventas]" caption="Total Ventas" measure="1" displayFolder="" measureGroup="Datos_Crudos_Transacciones" count="0"/>
    <cacheHierarchy uniqueName="[Measures].[Ticket Promedio]" caption="Ticket Promedio" measure="1" displayFolder="" measureGroup="Datos_Crudos_Transacciones" count="0"/>
    <cacheHierarchy uniqueName="[Measures].[Cantidad Vendida]" caption="Cantidad Vendida" measure="1" displayFolder="" measureGroup="Datos_Crudos_Transacciones" count="0"/>
    <cacheHierarchy uniqueName="[Measures].[__XL_Count Datos_Crudos_Transacciones]" caption="__XL_Count Datos_Crudos_Transacciones" measure="1" displayFolder="" measureGroup="Datos_Crudos_Transaccione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447430451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716054282406" backgroundQuery="1" createdVersion="3" refreshedVersion="8" minRefreshableVersion="3" recordCount="0" supportSubquery="1" supportAdvancedDrill="1" xr:uid="{3A4437F8-A0A9-4DD1-ADCA-81E07DA68EBF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9">
    <cacheHierarchy uniqueName="[Datos_Crudos_Transacciones].[Fecha]" caption="Fecha" attribute="1" time="1" defaultMemberUniqueName="[Datos_Crudos_Transacciones].[Fecha].[All]" allUniqueName="[Datos_Crudos_Transacciones].[Fecha].[All]" dimensionUniqueName="[Datos_Crudos_Transacciones]" displayFolder="" count="0" memberValueDatatype="7" unbalanced="0"/>
    <cacheHierarchy uniqueName="[Datos_Crudos_Transacciones].[Region]" caption="Region" attribute="1" defaultMemberUniqueName="[Datos_Crudos_Transacciones].[Region].[All]" allUniqueName="[Datos_Crudos_Transacciones].[Region].[All]" dimensionUniqueName="[Datos_Crudos_Transacciones]" displayFolder="" count="2" memberValueDatatype="130" unbalanced="0"/>
    <cacheHierarchy uniqueName="[Datos_Crudos_Transacciones].[Categoria]" caption="Categoria" attribute="1" defaultMemberUniqueName="[Datos_Crudos_Transacciones].[Categoria].[All]" allUniqueName="[Datos_Crudos_Transacciones].[Categoria].[All]" dimensionUniqueName="[Datos_Crudos_Transacciones]" displayFolder="" count="2" memberValueDatatype="130" unbalanced="0"/>
    <cacheHierarchy uniqueName="[Datos_Crudos_Transacciones].[Producto]" caption="Producto" attribute="1" defaultMemberUniqueName="[Datos_Crudos_Transacciones].[Producto].[All]" allUniqueName="[Datos_Crudos_Transacciones].[Producto].[All]" dimensionUniqueName="[Datos_Crudos_Transacciones]" displayFolder="" count="0" memberValueDatatype="130" unbalanced="0"/>
    <cacheHierarchy uniqueName="[Datos_Crudos_Transacciones].[Cantidad]" caption="Cantidad" attribute="1" defaultMemberUniqueName="[Datos_Crudos_Transacciones].[Cantidad].[All]" allUniqueName="[Datos_Crudos_Transacciones].[Cantidad].[All]" dimensionUniqueName="[Datos_Crudos_Transacciones]" displayFolder="" count="0" memberValueDatatype="20" unbalanced="0"/>
    <cacheHierarchy uniqueName="[Datos_Crudos_Transacciones].[Precio_Unitario]" caption="Precio_Unitario" attribute="1" defaultMemberUniqueName="[Datos_Crudos_Transacciones].[Precio_Unitario].[All]" allUniqueName="[Datos_Crudos_Transacciones].[Precio_Unitario].[All]" dimensionUniqueName="[Datos_Crudos_Transacciones]" displayFolder="" count="0" memberValueDatatype="5" unbalanced="0"/>
    <cacheHierarchy uniqueName="[Datos_Crudos_Transacciones].[Monto]" caption="Monto" attribute="1" defaultMemberUniqueName="[Datos_Crudos_Transacciones].[Monto].[All]" allUniqueName="[Datos_Crudos_Transacciones].[Monto].[All]" dimensionUniqueName="[Datos_Crudos_Transacciones]" displayFolder="" count="0" memberValueDatatype="5" unbalanced="0"/>
    <cacheHierarchy uniqueName="[Datos_Crudos_Transacciones].[Cliente]" caption="Cliente" attribute="1" defaultMemberUniqueName="[Datos_Crudos_Transacciones].[Cliente].[All]" allUniqueName="[Datos_Crudos_Transacciones].[Cliente].[All]" dimensionUniqueName="[Datos_Crudos_Transacciones]" displayFolder="" count="0" memberValueDatatype="130" unbalanced="0"/>
    <cacheHierarchy uniqueName="[Datos_Crudos_Transacciones].[ID_Transaccion]" caption="ID_Transaccion" attribute="1" defaultMemberUniqueName="[Datos_Crudos_Transacciones].[ID_Transaccion].[All]" allUniqueName="[Datos_Crudos_Transacciones].[ID_Transaccion].[All]" dimensionUniqueName="[Datos_Crudos_Transacciones]" displayFolder="" count="0" memberValueDatatype="20" unbalanced="0"/>
    <cacheHierarchy uniqueName="[Datos_Crudos_Transacciones].[ID_Producto]" caption="ID_Producto" attribute="1" defaultMemberUniqueName="[Datos_Crudos_Transacciones].[ID_Producto].[All]" allUniqueName="[Datos_Crudos_Transacciones].[ID_Producto].[All]" dimensionUniqueName="[Datos_Crudos_Transacciones]" displayFolder="" count="0" memberValueDatatype="20" unbalanced="0"/>
    <cacheHierarchy uniqueName="[Datos_Crudos_Transacciones].[ID_Cliente]" caption="ID_Cliente" attribute="1" defaultMemberUniqueName="[Datos_Crudos_Transacciones].[ID_Cliente].[All]" allUniqueName="[Datos_Crudos_Transacciones].[ID_Cliente].[All]" dimensionUniqueName="[Datos_Crudos_Transacciones]" displayFolder="" count="0" memberValueDatatype="20" unbalanced="0"/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Nombre_Mes]" caption="Nombre_Mes" attribute="1" defaultMemberUniqueName="[Dim_Calendario].[Nombre_Mes].[All]" allUniqueName="[Dim_Calendario].[Nombre_Mes].[All]" dimensionUniqueName="[Dim_Calendario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Measures].[Suma de Monto]" caption="Suma de Monto" measure="1" displayFolder="" measureGroup="Datos_Crudos_Transaccion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Ventas]" caption="Total Ventas" measure="1" displayFolder="" measureGroup="Datos_Crudos_Transacciones" count="0"/>
    <cacheHierarchy uniqueName="[Measures].[Ticket Promedio]" caption="Ticket Promedio" measure="1" displayFolder="" measureGroup="Datos_Crudos_Transacciones" count="0"/>
    <cacheHierarchy uniqueName="[Measures].[Cantidad Vendida]" caption="Cantidad Vendida" measure="1" displayFolder="" measureGroup="Datos_Crudos_Transacciones" count="0"/>
    <cacheHierarchy uniqueName="[Measures].[__XL_Count Datos_Crudos_Transacciones]" caption="__XL_Count Datos_Crudos_Transacciones" measure="1" displayFolder="" measureGroup="Datos_Crudos_Transaccione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128054621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716057060185" backgroundQuery="1" createdVersion="3" refreshedVersion="8" minRefreshableVersion="3" recordCount="0" supportSubquery="1" supportAdvancedDrill="1" xr:uid="{AA4C0587-6FD1-40FF-9447-242A701155F8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9">
    <cacheHierarchy uniqueName="[Datos_Crudos_Transacciones].[Fecha]" caption="Fecha" attribute="1" time="1" defaultMemberUniqueName="[Datos_Crudos_Transacciones].[Fecha].[All]" allUniqueName="[Datos_Crudos_Transacciones].[Fecha].[All]" dimensionUniqueName="[Datos_Crudos_Transacciones]" displayFolder="" count="0" memberValueDatatype="7" unbalanced="0"/>
    <cacheHierarchy uniqueName="[Datos_Crudos_Transacciones].[Region]" caption="Region" attribute="1" defaultMemberUniqueName="[Datos_Crudos_Transacciones].[Region].[All]" allUniqueName="[Datos_Crudos_Transacciones].[Region].[All]" dimensionUniqueName="[Datos_Crudos_Transacciones]" displayFolder="" count="2" memberValueDatatype="130" unbalanced="0"/>
    <cacheHierarchy uniqueName="[Datos_Crudos_Transacciones].[Categoria]" caption="Categoria" attribute="1" defaultMemberUniqueName="[Datos_Crudos_Transacciones].[Categoria].[All]" allUniqueName="[Datos_Crudos_Transacciones].[Categoria].[All]" dimensionUniqueName="[Datos_Crudos_Transacciones]" displayFolder="" count="0" memberValueDatatype="130" unbalanced="0"/>
    <cacheHierarchy uniqueName="[Datos_Crudos_Transacciones].[Producto]" caption="Producto" attribute="1" defaultMemberUniqueName="[Datos_Crudos_Transacciones].[Producto].[All]" allUniqueName="[Datos_Crudos_Transacciones].[Producto].[All]" dimensionUniqueName="[Datos_Crudos_Transacciones]" displayFolder="" count="0" memberValueDatatype="130" unbalanced="0"/>
    <cacheHierarchy uniqueName="[Datos_Crudos_Transacciones].[Cantidad]" caption="Cantidad" attribute="1" defaultMemberUniqueName="[Datos_Crudos_Transacciones].[Cantidad].[All]" allUniqueName="[Datos_Crudos_Transacciones].[Cantidad].[All]" dimensionUniqueName="[Datos_Crudos_Transacciones]" displayFolder="" count="0" memberValueDatatype="20" unbalanced="0"/>
    <cacheHierarchy uniqueName="[Datos_Crudos_Transacciones].[Precio_Unitario]" caption="Precio_Unitario" attribute="1" defaultMemberUniqueName="[Datos_Crudos_Transacciones].[Precio_Unitario].[All]" allUniqueName="[Datos_Crudos_Transacciones].[Precio_Unitario].[All]" dimensionUniqueName="[Datos_Crudos_Transacciones]" displayFolder="" count="0" memberValueDatatype="5" unbalanced="0"/>
    <cacheHierarchy uniqueName="[Datos_Crudos_Transacciones].[Monto]" caption="Monto" attribute="1" defaultMemberUniqueName="[Datos_Crudos_Transacciones].[Monto].[All]" allUniqueName="[Datos_Crudos_Transacciones].[Monto].[All]" dimensionUniqueName="[Datos_Crudos_Transacciones]" displayFolder="" count="0" memberValueDatatype="5" unbalanced="0"/>
    <cacheHierarchy uniqueName="[Datos_Crudos_Transacciones].[Cliente]" caption="Cliente" attribute="1" defaultMemberUniqueName="[Datos_Crudos_Transacciones].[Cliente].[All]" allUniqueName="[Datos_Crudos_Transacciones].[Cliente].[All]" dimensionUniqueName="[Datos_Crudos_Transacciones]" displayFolder="" count="0" memberValueDatatype="130" unbalanced="0"/>
    <cacheHierarchy uniqueName="[Datos_Crudos_Transacciones].[ID_Transaccion]" caption="ID_Transaccion" attribute="1" defaultMemberUniqueName="[Datos_Crudos_Transacciones].[ID_Transaccion].[All]" allUniqueName="[Datos_Crudos_Transacciones].[ID_Transaccion].[All]" dimensionUniqueName="[Datos_Crudos_Transacciones]" displayFolder="" count="0" memberValueDatatype="20" unbalanced="0"/>
    <cacheHierarchy uniqueName="[Datos_Crudos_Transacciones].[ID_Producto]" caption="ID_Producto" attribute="1" defaultMemberUniqueName="[Datos_Crudos_Transacciones].[ID_Producto].[All]" allUniqueName="[Datos_Crudos_Transacciones].[ID_Producto].[All]" dimensionUniqueName="[Datos_Crudos_Transacciones]" displayFolder="" count="0" memberValueDatatype="20" unbalanced="0"/>
    <cacheHierarchy uniqueName="[Datos_Crudos_Transacciones].[ID_Cliente]" caption="ID_Cliente" attribute="1" defaultMemberUniqueName="[Datos_Crudos_Transacciones].[ID_Cliente].[All]" allUniqueName="[Datos_Crudos_Transacciones].[ID_Cliente].[All]" dimensionUniqueName="[Datos_Crudos_Transacciones]" displayFolder="" count="0" memberValueDatatype="20" unbalanced="0"/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0" memberValueDatatype="20" unbalanced="0"/>
    <cacheHierarchy uniqueName="[Dim_Calendario].[Nombre_Mes]" caption="Nombre_Mes" attribute="1" defaultMemberUniqueName="[Dim_Calendario].[Nombre_Mes].[All]" allUniqueName="[Dim_Calendario].[Nombre_Mes].[All]" dimensionUniqueName="[Dim_Calendario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/>
    <cacheHierarchy uniqueName="[Measures].[Suma de Monto]" caption="Suma de Monto" measure="1" displayFolder="" measureGroup="Datos_Crudos_Transaccion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Ventas]" caption="Total Ventas" measure="1" displayFolder="" measureGroup="Datos_Crudos_Transacciones" count="0"/>
    <cacheHierarchy uniqueName="[Measures].[Ticket Promedio]" caption="Ticket Promedio" measure="1" displayFolder="" measureGroup="Datos_Crudos_Transacciones" count="0"/>
    <cacheHierarchy uniqueName="[Measures].[Cantidad Vendida]" caption="Cantidad Vendida" measure="1" displayFolder="" measureGroup="Datos_Crudos_Transacciones" count="0"/>
    <cacheHierarchy uniqueName="[Measures].[__XL_Count Datos_Crudos_Transacciones]" caption="__XL_Count Datos_Crudos_Transacciones" measure="1" displayFolder="" measureGroup="Datos_Crudos_Transaccione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78107706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3BFC2-4360-4282-BDBC-F62C013CD778}" name="TablaDinámica1" cacheId="0" applyNumberFormats="0" applyBorderFormats="0" applyFontFormats="0" applyPatternFormats="0" applyAlignmentFormats="0" applyWidthHeightFormats="1" dataCaption="Valores" tag="0a8a3fb9-7139-47cf-a417-40a4134efd4e" updatedVersion="8" minRefreshableVersion="3" useAutoFormatting="1" itemPrintTitles="1" createdVersion="8" indent="0" outline="1" outlineData="1" multipleFieldFilters="0" chartFormat="2">
  <location ref="A8:F15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Monto" fld="2" baseField="0" baseItem="0" numFmtId="167"/>
  </dataFields>
  <formats count="40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>
      <pivotArea type="all" dataOnly="0" outline="0" fieldPosition="0"/>
    </format>
    <format dxfId="18">
      <pivotArea type="origin" dataOnly="0" labelOnly="1" outline="0" fieldPosition="0"/>
    </format>
    <format dxfId="17">
      <pivotArea field="1" type="button" dataOnly="0" labelOnly="1" outline="0" axis="axisCol" fieldPosition="0"/>
    </format>
    <format dxfId="16">
      <pivotArea type="topRight" dataOnly="0" labelOnly="1" outline="0" fieldPosition="0"/>
    </format>
    <format dxfId="15">
      <pivotArea type="origin" dataOnly="0" labelOnly="1" outline="0" fieldPosition="0"/>
    </format>
    <format dxfId="14">
      <pivotArea field="1" type="button" dataOnly="0" labelOnly="1" outline="0" axis="axisCol" fieldPosition="0"/>
    </format>
    <format dxfId="13">
      <pivotArea type="topRight" dataOnly="0" labelOnly="1" outline="0" fieldPosition="0"/>
    </format>
    <format>
      <pivotArea type="all" dataOnly="0" outline="0" fieldPosition="0"/>
    </format>
    <format>
      <pivotArea type="all" dataOnly="0" outline="0" fieldPosition="0"/>
    </format>
    <format dxfId="12">
      <pivotArea outline="0" collapsedLevelsAreSubtotals="1" fieldPosition="0"/>
    </format>
    <format>
      <pivotArea type="all" dataOnly="0" outline="0" fieldPosition="0"/>
    </format>
    <format>
      <pivotArea outline="0" collapsedLevelsAreSubtotals="1" fieldPosition="0"/>
    </format>
    <format>
      <pivotArea field="0" type="button" dataOnly="0" labelOnly="1" outline="0" axis="axisRow" fieldPosition="0"/>
    </format>
    <format>
      <pivotArea dataOnly="0" labelOnly="1" fieldPosition="0">
        <references count="1">
          <reference field="0" count="0"/>
        </references>
      </pivotArea>
    </format>
    <format>
      <pivotArea dataOnly="0" labelOnly="1" grandRow="1" outline="0" fieldPosition="0"/>
    </format>
    <format>
      <pivotArea dataOnly="0" labelOnly="1" fieldPosition="0">
        <references count="1">
          <reference field="1" count="0"/>
        </references>
      </pivotArea>
    </format>
    <format>
      <pivotArea dataOnly="0" labelOnly="1" grandCol="1" outline="0" fieldPosition="0"/>
    </format>
    <format dxfId="11">
      <pivotArea type="origin" dataOnly="0" labelOnly="1" outline="0" fieldPosition="0"/>
    </format>
    <format dxfId="10">
      <pivotArea field="1" type="button" dataOnly="0" labelOnly="1" outline="0" axis="axisCol" fieldPosition="0"/>
    </format>
    <format dxfId="9">
      <pivotArea type="topRight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os_Crudos_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0EE37-8D31-45D4-92A8-07C86141FE6A}" name="TablaDinámica1" cacheId="1" applyNumberFormats="0" applyBorderFormats="0" applyFontFormats="0" applyPatternFormats="0" applyAlignmentFormats="0" applyWidthHeightFormats="1" dataCaption="Valores" tag="75281245-b61f-4600-aba1-353bd21fd163" updatedVersion="8" minRefreshableVersion="3" useAutoFormatting="1" itemPrintTitles="1" createdVersion="8" indent="0" outline="1" outlineData="1" multipleFieldFilters="0" chartFormat="2">
  <location ref="A3:C8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14" name="[Dim_Calendario].[Nombre_Mes].[All]" cap="All"/>
  </pageFields>
  <dataFields count="2">
    <dataField fld="1" subtotal="count" baseField="0" baseItem="0"/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s]"/>
        <x15:activeTabTopLevelEntity name="[Datos_Crudos_Transacciones]"/>
        <x15:activeTabTopLevelEntity name="[Dim_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CFCC7-917E-4C3F-BC53-DA9243240499}" name="TablaDinámica2" cacheId="3" applyNumberFormats="0" applyBorderFormats="0" applyFontFormats="0" applyPatternFormats="0" applyAlignmentFormats="0" applyWidthHeightFormats="1" dataCaption="Valores" tag="b59e3c61-e649-440e-b471-aa948b6ac92e" updatedVersion="8" minRefreshableVersion="3" useAutoFormatting="1" itemPrintTitles="1" createdVersion="8" indent="0" outline="1" outlineData="1" multipleFieldFilters="0">
  <location ref="I2:K3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29">
    <pivotHierarchy dragToData="1"/>
    <pivotHierarchy multipleItemSelectionAllowed="1" dragToData="1">
      <members count="1" level="1">
        <member name="[Datos_Crudos_Transacciones].[Region].&amp;[Centr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os_Crudos_Transacciones]"/>
        <x15:activeTabTopLevelEntity name="[Dim_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82957-5FEF-4E23-802D-45B66844852D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:G14" firstHeaderRow="0" firstDataRow="1" firstDataCol="1"/>
  <pivotFields count="4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9">
    <pivotHierarchy dragToData="1"/>
    <pivotHierarchy multipleItemSelectionAllowed="1" dragToData="1">
      <members count="1" level="1">
        <member name="[Datos_Crudos_Transacciones].[Region].&amp;[Centr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s]"/>
        <x15:activeTabTopLevelEntity name="[Datos_Crudos_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02441-24BE-46D9-9FCA-491B6B4DEA63}" name="TablaDinámica3" cacheId="4" applyNumberFormats="0" applyBorderFormats="0" applyFontFormats="0" applyPatternFormats="0" applyAlignmentFormats="0" applyWidthHeightFormats="1" dataCaption="Valores" tag="dfaff490-6542-45dc-8b0d-46bd20b2b996" updatedVersion="8" minRefreshableVersion="3" useAutoFormatting="1" itemPrintTitles="1" createdVersion="8" indent="0" outline="1" outlineData="1" multipleFieldFilters="0" chartFormat="2">
  <location ref="Q2:R12" firstHeaderRow="1" firstDataRow="1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multipleItemSelectionAllowed="1" dragToData="1">
      <members count="1" level="1">
        <member name="[Datos_Crudos_Transacciones].[Region].&amp;[Centr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Datos_Crudos_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7116FA4C-27DF-4EA8-A343-E7ADC5DBB7B7}" autoFormatId="16" applyNumberFormats="0" applyBorderFormats="0" applyFontFormats="0" applyPatternFormats="0" applyAlignmentFormats="0" applyWidthHeightFormats="0">
  <queryTableRefresh nextId="21">
    <queryTableFields count="11">
      <queryTableField id="1" name="Fecha" tableColumnId="1"/>
      <queryTableField id="2" name="Region" tableColumnId="2"/>
      <queryTableField id="3" name="Categoria" tableColumnId="3"/>
      <queryTableField id="4" name="Producto" tableColumnId="4"/>
      <queryTableField id="5" name="Cantidad" tableColumnId="5"/>
      <queryTableField id="6" name="Precio_Unitario" tableColumnId="6"/>
      <queryTableField id="7" name="Monto" tableColumnId="7"/>
      <queryTableField id="8" name="Cliente" tableColumnId="8"/>
      <queryTableField id="9" name="ID_Transaccion" tableColumnId="9"/>
      <queryTableField id="10" name="ID_Producto" tableColumnId="10"/>
      <queryTableField id="11" name="ID_Cliente" tableColumnId="11"/>
    </queryTableFields>
  </queryTableRefresh>
  <extLst>
    <ext xmlns:x15="http://schemas.microsoft.com/office/spreadsheetml/2010/11/main" uri="{883FBD77-0823-4a55-B5E3-86C4891E6966}">
      <x15:queryTable sourceDataName="Consulta - Datos_Crudos_Transaccione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B38C1F83-1169-4081-BB0A-A58C98E239EB}" sourceName="[Datos_Crudos_Transacciones].[Categoria]">
  <pivotTables>
    <pivotTable tabId="2" name="TablaDinámica1"/>
  </pivotTables>
  <data>
    <olap pivotCacheId="1128054621">
      <levels count="2">
        <level uniqueName="[Datos_Crudos_Transacciones].[Categoria].[(All)]" sourceCaption="(All)" count="0"/>
        <level uniqueName="[Datos_Crudos_Transacciones].[Categoria].[Categoria]" sourceCaption="Categoria" count="4">
          <ranges>
            <range startItem="0">
              <i n="[Datos_Crudos_Transacciones].[Categoria].&amp;[Accesorios]" c="Accesorios"/>
              <i n="[Datos_Crudos_Transacciones].[Categoria].&amp;[Hogar]" c="Hogar"/>
              <i n="[Datos_Crudos_Transacciones].[Categoria].&amp;[Oficina]" c="Oficina"/>
              <i n="[Datos_Crudos_Transacciones].[Categoria].&amp;[Tecnología]" c="Tecnología"/>
            </range>
          </ranges>
        </level>
      </levels>
      <selections count="1">
        <selection n="[Datos_Crudos_Transacciones].[Categori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98173257-A86D-4E76-B099-4B4B4703F2B7}" sourceName="[Datos_Crudos_Transacciones].[Region]">
  <pivotTables>
    <pivotTable tabId="2" name="TablaDinámica1"/>
  </pivotTables>
  <data>
    <olap pivotCacheId="1128054621">
      <levels count="2">
        <level uniqueName="[Datos_Crudos_Transacciones].[Region].[(All)]" sourceCaption="(All)" count="0"/>
        <level uniqueName="[Datos_Crudos_Transacciones].[Region].[Region]" sourceCaption="Region" count="5">
          <ranges>
            <range startItem="0">
              <i n="[Datos_Crudos_Transacciones].[Region].&amp;[Centro]" c="Centro"/>
              <i n="[Datos_Crudos_Transacciones].[Region].&amp;[Este]" c="Este"/>
              <i n="[Datos_Crudos_Transacciones].[Region].&amp;[Norte]" c="Norte"/>
              <i n="[Datos_Crudos_Transacciones].[Region].&amp;[Oeste]" c="Oeste"/>
              <i n="[Datos_Crudos_Transacciones].[Region].&amp;[Sur]" c="Sur"/>
            </range>
          </ranges>
        </level>
      </levels>
      <selections count="1">
        <selection n="[Datos_Crudos_Transacciones].[Region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1" xr10:uid="{22FF2D6B-3EFB-4A0C-83B3-CE6B1BB4BA29}" sourceName="[Dim_Productos].[Categoria]">
  <pivotTables>
    <pivotTable tabId="6" name="TablaDinámica1"/>
  </pivotTables>
  <data>
    <olap pivotCacheId="1781077066">
      <levels count="2">
        <level uniqueName="[Dim_Productos].[Categoria].[(All)]" sourceCaption="(All)" count="0"/>
        <level uniqueName="[Dim_Productos].[Categoria].[Categoria]" sourceCaption="Categoria" count="4">
          <ranges>
            <range startItem="0">
              <i n="[Dim_Productos].[Categoria].&amp;[Accesorios]" c="Accesorios"/>
              <i n="[Dim_Productos].[Categoria].&amp;[Hogar]" c="Hogar"/>
              <i n="[Dim_Productos].[Categoria].&amp;[Oficina]" c="Oficina"/>
              <i n="[Dim_Productos].[Categoria].&amp;[Tecnología]" c="Tecnología"/>
            </range>
          </ranges>
        </level>
      </levels>
      <selections count="1">
        <selection n="[Dim_Productos].[Categoria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1" xr10:uid="{D3F6C42A-D0EE-48C8-A11A-32B0C1F9FEED}" sourceName="[Datos_Crudos_Transacciones].[Region]">
  <pivotTables>
    <pivotTable tabId="6" name="TablaDinámica1"/>
  </pivotTables>
  <data>
    <olap pivotCacheId="1781077066">
      <levels count="2">
        <level uniqueName="[Datos_Crudos_Transacciones].[Region].[(All)]" sourceCaption="(All)" count="0"/>
        <level uniqueName="[Datos_Crudos_Transacciones].[Region].[Region]" sourceCaption="Region" count="5">
          <ranges>
            <range startItem="0">
              <i n="[Datos_Crudos_Transacciones].[Region].&amp;[Centro]" c="Centro"/>
              <i n="[Datos_Crudos_Transacciones].[Region].&amp;[Este]" c="Este"/>
              <i n="[Datos_Crudos_Transacciones].[Region].&amp;[Norte]" c="Norte"/>
              <i n="[Datos_Crudos_Transacciones].[Region].&amp;[Oeste]" c="Oeste"/>
              <i n="[Datos_Crudos_Transacciones].[Region].&amp;[Sur]" c="Sur"/>
            </range>
          </ranges>
        </level>
      </levels>
      <selections count="1">
        <selection n="[Datos_Crudos_Transacciones].[Region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Mes" xr10:uid="{8391CCA0-B44E-4DF1-84E8-8E56E108482F}" sourceName="[Dim_Calendario].[Nombre_Mes]">
  <pivotTables>
    <pivotTable tabId="13" name="TablaDinámica1"/>
    <pivotTable tabId="13" name="TablaDinámica2"/>
    <pivotTable tabId="13" name="TablaDinámica3"/>
  </pivotTables>
  <data>
    <olap pivotCacheId="1447430451">
      <levels count="2">
        <level uniqueName="[Dim_Calendario].[Nombre_Mes].[(All)]" sourceCaption="(All)" count="0"/>
        <level uniqueName="[Dim_Calendario].[Nombre_Mes].[Nombre_Mes]" sourceCaption="Nombre_Mes" count="12">
          <ranges>
            <range startItem="0">
              <i n="[Dim_Calendario].[Nombre_Mes].&amp;[enero]" c="enero"/>
              <i n="[Dim_Calendario].[Nombre_Mes].&amp;[febrero]" c="febrero"/>
              <i n="[Dim_Calendario].[Nombre_Mes].&amp;[marzo]" c="marzo"/>
              <i n="[Dim_Calendario].[Nombre_Mes].&amp;[abril]" c="abril"/>
              <i n="[Dim_Calendario].[Nombre_Mes].&amp;[junio]" c="junio"/>
              <i n="[Dim_Calendario].[Nombre_Mes].&amp;[septiembre]" c="septiembre"/>
              <i n="[Dim_Calendario].[Nombre_Mes].&amp;[octubre]" c="octubre"/>
              <i n="[Dim_Calendario].[Nombre_Mes].&amp;[noviembre]" c="noviembre"/>
              <i n="[Dim_Calendario].[Nombre_Mes].&amp;[diciembre]" c="diciembre"/>
              <i n="[Dim_Calendario].[Nombre_Mes].&amp;[mayo]" c="mayo" nd="1"/>
              <i n="[Dim_Calendario].[Nombre_Mes].&amp;[julio]" c="julio" nd="1"/>
              <i n="[Dim_Calendario].[Nombre_Mes].&amp;[agosto]" c="agosto" nd="1"/>
            </range>
          </ranges>
        </level>
      </levels>
      <selections count="1">
        <selection n="[Dim_Calendario].[Nombre_Mes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2" xr10:uid="{BED701E5-8881-44AC-A501-99EDA2F278FC}" sourceName="[Datos_Crudos_Transacciones].[Categoria]">
  <pivotTables>
    <pivotTable tabId="13" name="TablaDinámica1"/>
    <pivotTable tabId="13" name="TablaDinámica2"/>
    <pivotTable tabId="13" name="TablaDinámica3"/>
  </pivotTables>
  <data>
    <olap pivotCacheId="1447430451">
      <levels count="2">
        <level uniqueName="[Datos_Crudos_Transacciones].[Categoria].[(All)]" sourceCaption="(All)" count="0"/>
        <level uniqueName="[Datos_Crudos_Transacciones].[Categoria].[Categoria]" sourceCaption="Categoria" count="4">
          <ranges>
            <range startItem="0">
              <i n="[Datos_Crudos_Transacciones].[Categoria].&amp;[Accesorios]" c="Accesorios"/>
              <i n="[Datos_Crudos_Transacciones].[Categoria].&amp;[Hogar]" c="Hogar"/>
              <i n="[Datos_Crudos_Transacciones].[Categoria].&amp;[Oficina]" c="Oficina"/>
              <i n="[Datos_Crudos_Transacciones].[Categoria].&amp;[Tecnología]" c="Tecnología"/>
            </range>
          </ranges>
        </level>
      </levels>
      <selections count="1">
        <selection n="[Datos_Crudos_Transacciones].[Categoria].[All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2" xr10:uid="{ADEFD18D-B879-464C-8A01-6C423159D65B}" sourceName="[Datos_Crudos_Transacciones].[Region]">
  <pivotTables>
    <pivotTable tabId="13" name="TablaDinámica1"/>
    <pivotTable tabId="13" name="TablaDinámica2"/>
    <pivotTable tabId="13" name="TablaDinámica3"/>
  </pivotTables>
  <data>
    <olap pivotCacheId="1447430451">
      <levels count="2">
        <level uniqueName="[Datos_Crudos_Transacciones].[Region].[(All)]" sourceCaption="(All)" count="0"/>
        <level uniqueName="[Datos_Crudos_Transacciones].[Region].[Region]" sourceCaption="Region" count="5">
          <ranges>
            <range startItem="0">
              <i n="[Datos_Crudos_Transacciones].[Region].&amp;[Centro]" c="Centro"/>
              <i n="[Datos_Crudos_Transacciones].[Region].&amp;[Este]" c="Este"/>
              <i n="[Datos_Crudos_Transacciones].[Region].&amp;[Norte]" c="Norte"/>
              <i n="[Datos_Crudos_Transacciones].[Region].&amp;[Oeste]" c="Oeste"/>
              <i n="[Datos_Crudos_Transacciones].[Region].&amp;[Sur]" c="Sur"/>
            </range>
          </ranges>
        </level>
      </levels>
      <selections count="1">
        <selection n="[Datos_Crudos_Transacciones].[Region].&amp;[Centro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131C2C5C-6DAB-4B75-AE5C-2A254CFFC2E7}" cache="SegmentaciónDeDatos_Categoria" caption="Categoria" level="1" rowHeight="247650"/>
  <slicer name="Region" xr10:uid="{BEB0AA00-F816-4DC3-9309-FDFCDCC4533F}" cache="SegmentaciónDeDatos_Region" caption="Region" level="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46A5BBA0-4CC2-4733-AA54-DB047AC79FC6}" cache="SegmentaciónDeDatos_Categoria1" caption="Categoria" level="1" rowHeight="247650"/>
  <slicer name="Region 1" xr10:uid="{3B85D324-23B2-49BA-B479-5892D24C1976}" cache="SegmentaciónDeDatos_Region1" caption="Region" level="1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_Mes" xr10:uid="{6DB11B6D-A5E0-4A54-8720-17A4A7D26833}" cache="SegmentaciónDeDatos_Nombre_Mes" caption="Mes" columnCount="2" level="1" style="SlicerStyleDark1" rowHeight="247650"/>
  <slicer name="Categoria 2" xr10:uid="{F3DF1E7C-5947-4906-BB86-E2E37DFB948F}" cache="SegmentaciónDeDatos_Categoria2" caption="Categoria" level="1" style="SlicerStyleDark1" rowHeight="247650"/>
  <slicer name="Region 2" xr10:uid="{1056A2D1-139A-4755-A5B3-B8DF31621B00}" cache="SegmentaciónDeDatos_Region2" caption="Region" level="1" style="SlicerStyleDark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49A98-577A-4384-8EBC-963C872D91FC}" name="Datos_Crudos_Transacciones" displayName="Datos_Crudos_Transacciones" ref="A1:K96" tableType="queryTable" totalsRowShown="0">
  <autoFilter ref="A1:K96" xr:uid="{00249A98-577A-4384-8EBC-963C872D91FC}"/>
  <tableColumns count="11">
    <tableColumn id="1" xr3:uid="{7BB0BF5E-C5A7-416C-91B6-D74DF76BBFC0}" uniqueName="1" name="Fecha" queryTableFieldId="1" dataDxfId="8"/>
    <tableColumn id="2" xr3:uid="{4C5CF709-833E-4710-91CC-A4931889163F}" uniqueName="2" name="Region" queryTableFieldId="2" dataDxfId="7"/>
    <tableColumn id="3" xr3:uid="{20AF10C1-93BE-4FB9-B0E5-FBE529A599A6}" uniqueName="3" name="Categoria" queryTableFieldId="3" dataDxfId="6"/>
    <tableColumn id="4" xr3:uid="{8C727165-0513-4481-B614-D2ED1EA2BA80}" uniqueName="4" name="Producto" queryTableFieldId="4" dataDxfId="5"/>
    <tableColumn id="5" xr3:uid="{77D9F83F-B7F0-4024-A80E-28AD7226A46E}" uniqueName="5" name="Cantidad" queryTableFieldId="5"/>
    <tableColumn id="6" xr3:uid="{58522DB6-5A42-4CF2-9AF8-FF3121D72281}" uniqueName="6" name="Precio_Unitario" queryTableFieldId="6"/>
    <tableColumn id="7" xr3:uid="{A4DD4BA9-C4A3-4D1A-803B-E1C8C2000B8F}" uniqueName="7" name="Monto" queryTableFieldId="7"/>
    <tableColumn id="8" xr3:uid="{119A6432-2FBE-49F6-B158-32D5D0740E2A}" uniqueName="8" name="Cliente" queryTableFieldId="8" dataDxfId="4"/>
    <tableColumn id="9" xr3:uid="{768DA0D0-0916-4ECD-BDEA-CB5D96B330AA}" uniqueName="9" name="ID_Transaccion" queryTableFieldId="9"/>
    <tableColumn id="10" xr3:uid="{79067AAC-A92B-4E75-80A5-59330DADD26B}" uniqueName="10" name="ID_Producto" queryTableFieldId="10"/>
    <tableColumn id="11" xr3:uid="{98169E2E-CDAE-4E74-A7C1-06A4D8406D80}" uniqueName="11" name="ID_Client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E7A5-A2A3-4E5C-87B7-678E83C1E6DB}">
  <sheetPr codeName="Hoja1"/>
  <dimension ref="A1:B22"/>
  <sheetViews>
    <sheetView workbookViewId="0">
      <selection activeCell="B22" sqref="B22"/>
    </sheetView>
  </sheetViews>
  <sheetFormatPr baseColWidth="10" defaultRowHeight="14.4" x14ac:dyDescent="0.3"/>
  <cols>
    <col min="1" max="1" width="34.6640625" customWidth="1"/>
    <col min="2" max="2" width="41" customWidth="1"/>
  </cols>
  <sheetData>
    <row r="1" spans="1:2" x14ac:dyDescent="0.3">
      <c r="A1" s="63" t="s">
        <v>0</v>
      </c>
      <c r="B1" s="63"/>
    </row>
    <row r="3" spans="1:2" x14ac:dyDescent="0.3">
      <c r="A3" s="1" t="s">
        <v>1</v>
      </c>
      <c r="B3" s="4">
        <v>10000000</v>
      </c>
    </row>
    <row r="4" spans="1:2" x14ac:dyDescent="0.3">
      <c r="A4" s="1" t="s">
        <v>2</v>
      </c>
      <c r="B4" s="5">
        <v>0.3</v>
      </c>
    </row>
    <row r="5" spans="1:2" x14ac:dyDescent="0.3">
      <c r="A5" s="1" t="s">
        <v>11</v>
      </c>
      <c r="B5" s="4">
        <v>5</v>
      </c>
    </row>
    <row r="6" spans="1:2" x14ac:dyDescent="0.3">
      <c r="A6" s="1" t="s">
        <v>3</v>
      </c>
      <c r="B6" s="4">
        <v>12</v>
      </c>
    </row>
    <row r="7" spans="1:2" x14ac:dyDescent="0.3">
      <c r="A7" s="1" t="s">
        <v>4</v>
      </c>
      <c r="B7" s="2">
        <f>PMT(B4/B6,B5*B6,-B3)</f>
        <v>323533.95900059235</v>
      </c>
    </row>
    <row r="10" spans="1:2" x14ac:dyDescent="0.3">
      <c r="A10" s="63" t="s">
        <v>5</v>
      </c>
      <c r="B10" s="63"/>
    </row>
    <row r="11" spans="1:2" x14ac:dyDescent="0.3">
      <c r="A11" s="7" t="s">
        <v>6</v>
      </c>
      <c r="B11" s="7" t="s">
        <v>7</v>
      </c>
    </row>
    <row r="12" spans="1:2" x14ac:dyDescent="0.3">
      <c r="A12" s="6">
        <v>0</v>
      </c>
      <c r="B12" s="1">
        <v>-10000000</v>
      </c>
    </row>
    <row r="13" spans="1:2" x14ac:dyDescent="0.3">
      <c r="A13" s="6">
        <v>1</v>
      </c>
      <c r="B13" s="1">
        <v>2800000</v>
      </c>
    </row>
    <row r="14" spans="1:2" x14ac:dyDescent="0.3">
      <c r="A14" s="6">
        <v>2</v>
      </c>
      <c r="B14" s="1">
        <v>3200000</v>
      </c>
    </row>
    <row r="15" spans="1:2" x14ac:dyDescent="0.3">
      <c r="A15" s="6">
        <v>3</v>
      </c>
      <c r="B15" s="1">
        <v>3700000</v>
      </c>
    </row>
    <row r="16" spans="1:2" x14ac:dyDescent="0.3">
      <c r="A16" s="6">
        <v>4</v>
      </c>
      <c r="B16" s="1">
        <v>4200000</v>
      </c>
    </row>
    <row r="17" spans="1:2" x14ac:dyDescent="0.3">
      <c r="A17" s="6">
        <v>5</v>
      </c>
      <c r="B17" s="1">
        <v>4800000</v>
      </c>
    </row>
    <row r="19" spans="1:2" x14ac:dyDescent="0.3">
      <c r="A19" s="1" t="s">
        <v>8</v>
      </c>
      <c r="B19" s="5">
        <v>0.2</v>
      </c>
    </row>
    <row r="20" spans="1:2" x14ac:dyDescent="0.3">
      <c r="A20" s="1" t="s">
        <v>9</v>
      </c>
      <c r="B20" s="2">
        <f>NPV(B19,B13:B17)+B12</f>
        <v>651234.56790123694</v>
      </c>
    </row>
    <row r="21" spans="1:2" x14ac:dyDescent="0.3">
      <c r="A21" s="1" t="s">
        <v>10</v>
      </c>
      <c r="B21" s="3">
        <f>IRR(B12:B17)</f>
        <v>0.22654193594596683</v>
      </c>
    </row>
    <row r="22" spans="1:2" x14ac:dyDescent="0.3">
      <c r="A22" s="1" t="s">
        <v>12</v>
      </c>
      <c r="B22" s="1" t="str">
        <f>IF(AND(B20&gt;0,B21&gt;B19),"PROYECTO VIABLE - Se recomienda aceptar","PROYECTO NO VIABLE - Se recomienda rechazar")</f>
        <v>PROYECTO VIABLE - Se recomienda aceptar</v>
      </c>
    </row>
  </sheetData>
  <sheetProtection algorithmName="SHA-512" hashValue="rPr7An4KrSYj8U83BHnoaUw8EQQ84qVIJTS2dxj3sz2RB5Cynj7bIVN5ZMRKC5NLUY8lCvRS1xhmM82DxEl1tQ==" saltValue="jtMqBLchpskp/EwmRBnt2A==" spinCount="100000" sheet="1" objects="1" scenarios="1" selectLockedCells="1"/>
  <scenarios current="0" sqref="B20 B21">
    <scenario name="Base" count="1" user="Gisela Gisela" comment="Creado por Gisela Gisela el 14/9/2026">
      <inputCells r="B19" val="0,2" numFmtId="9"/>
    </scenario>
    <scenario name="Optimista" count="1" user="Gisela Gisela" comment="Creado por Gisela Gisela el 14/9/2026">
      <inputCells r="B19" val="0,15" numFmtId="9"/>
    </scenario>
    <scenario name="Pesimista" count="1" user="Gisela Gisela" comment="Creado por Gisela Gisela el 14/9/2026">
      <inputCells r="B19" val="0,25" numFmtId="9"/>
    </scenario>
  </scenarios>
  <mergeCells count="2">
    <mergeCell ref="A10:B10"/>
    <mergeCell ref="A1:B1"/>
  </mergeCells>
  <conditionalFormatting sqref="B22">
    <cfRule type="containsText" dxfId="3" priority="1" operator="containsText" text="PROYECTO NO VIABLE">
      <formula>NOT(ISERROR(SEARCH("PROYECTO NO VIABLE",B22)))</formula>
    </cfRule>
    <cfRule type="containsText" dxfId="2" priority="2" operator="containsText" text="PROYECTO VIABLE">
      <formula>NOT(ISERROR(SEARCH("PROYECTO VIABLE",B22)))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CE1B-81BD-450E-9C70-D337B9B8A084}">
  <sheetPr codeName="Hoja2">
    <pageSetUpPr fitToPage="1"/>
  </sheetPr>
  <dimension ref="A1:K15"/>
  <sheetViews>
    <sheetView workbookViewId="0">
      <selection activeCell="D2" sqref="D2"/>
    </sheetView>
  </sheetViews>
  <sheetFormatPr baseColWidth="10" defaultRowHeight="14.4" x14ac:dyDescent="0.3"/>
  <cols>
    <col min="1" max="1" width="17.88671875" bestFit="1" customWidth="1"/>
    <col min="2" max="2" width="23" bestFit="1" customWidth="1"/>
    <col min="3" max="5" width="12.5546875" bestFit="1" customWidth="1"/>
    <col min="6" max="6" width="13.6640625" bestFit="1" customWidth="1"/>
  </cols>
  <sheetData>
    <row r="1" spans="1:11" ht="23.4" x14ac:dyDescent="0.45">
      <c r="A1" s="68" t="s">
        <v>26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5.6" x14ac:dyDescent="0.3">
      <c r="A2" s="69" t="s">
        <v>27</v>
      </c>
      <c r="B2" s="69"/>
      <c r="I2" s="8"/>
    </row>
    <row r="4" spans="1:11" ht="15" thickBot="1" x14ac:dyDescent="0.35"/>
    <row r="5" spans="1:11" ht="14.4" customHeight="1" x14ac:dyDescent="0.3">
      <c r="B5" s="70" t="s">
        <v>32</v>
      </c>
      <c r="C5" s="71"/>
      <c r="E5" s="70" t="s">
        <v>33</v>
      </c>
      <c r="F5" s="71"/>
    </row>
    <row r="6" spans="1:11" ht="15" thickBot="1" x14ac:dyDescent="0.35">
      <c r="B6" s="64">
        <f>GETPIVOTDATA("[Measures].[Suma de Monto]",$A$8)</f>
        <v>143911639</v>
      </c>
      <c r="C6" s="65"/>
      <c r="E6" s="66">
        <f>GETPIVOTDATA("[Measures].[Ticket Promedio]",Analisis_Modelo!$A$3)</f>
        <v>1514859.3578947368</v>
      </c>
      <c r="F6" s="67"/>
    </row>
    <row r="8" spans="1:11" x14ac:dyDescent="0.3">
      <c r="A8" s="36" t="s">
        <v>25</v>
      </c>
      <c r="B8" s="36" t="s">
        <v>20</v>
      </c>
      <c r="C8" s="36"/>
      <c r="D8" s="36"/>
      <c r="E8" s="36"/>
      <c r="F8" s="36"/>
    </row>
    <row r="9" spans="1:11" x14ac:dyDescent="0.3">
      <c r="A9" s="32" t="s">
        <v>13</v>
      </c>
      <c r="B9" s="33" t="s">
        <v>21</v>
      </c>
      <c r="C9" s="33" t="s">
        <v>22</v>
      </c>
      <c r="D9" s="33" t="s">
        <v>23</v>
      </c>
      <c r="E9" s="33" t="s">
        <v>24</v>
      </c>
      <c r="F9" s="33" t="s">
        <v>19</v>
      </c>
    </row>
    <row r="10" spans="1:11" x14ac:dyDescent="0.3">
      <c r="A10" s="34" t="s">
        <v>14</v>
      </c>
      <c r="B10" s="35">
        <v>2643445</v>
      </c>
      <c r="C10" s="35">
        <v>5830297</v>
      </c>
      <c r="D10" s="35">
        <v>2807550</v>
      </c>
      <c r="E10" s="35">
        <v>37015431</v>
      </c>
      <c r="F10" s="35">
        <v>48296723</v>
      </c>
    </row>
    <row r="11" spans="1:11" x14ac:dyDescent="0.3">
      <c r="A11" s="34" t="s">
        <v>15</v>
      </c>
      <c r="B11" s="35">
        <v>3836212</v>
      </c>
      <c r="C11" s="35">
        <v>2908326</v>
      </c>
      <c r="D11" s="35">
        <v>5753642</v>
      </c>
      <c r="E11" s="35">
        <v>12021840</v>
      </c>
      <c r="F11" s="35">
        <v>24520020</v>
      </c>
    </row>
    <row r="12" spans="1:11" x14ac:dyDescent="0.3">
      <c r="A12" s="34" t="s">
        <v>16</v>
      </c>
      <c r="B12" s="35">
        <v>3527037</v>
      </c>
      <c r="C12" s="35">
        <v>3631844</v>
      </c>
      <c r="D12" s="35">
        <v>2473112</v>
      </c>
      <c r="E12" s="35"/>
      <c r="F12" s="35">
        <v>9631993</v>
      </c>
    </row>
    <row r="13" spans="1:11" x14ac:dyDescent="0.3">
      <c r="A13" s="34" t="s">
        <v>17</v>
      </c>
      <c r="B13" s="35">
        <v>4415538</v>
      </c>
      <c r="C13" s="35">
        <v>1499922</v>
      </c>
      <c r="D13" s="35">
        <v>4706318</v>
      </c>
      <c r="E13" s="35">
        <v>15052318</v>
      </c>
      <c r="F13" s="35">
        <v>25674096</v>
      </c>
    </row>
    <row r="14" spans="1:11" x14ac:dyDescent="0.3">
      <c r="A14" s="34" t="s">
        <v>18</v>
      </c>
      <c r="B14" s="35">
        <v>476150</v>
      </c>
      <c r="C14" s="35">
        <v>3438418</v>
      </c>
      <c r="D14" s="35">
        <v>4788001</v>
      </c>
      <c r="E14" s="35">
        <v>27086238</v>
      </c>
      <c r="F14" s="35">
        <v>35788807</v>
      </c>
    </row>
    <row r="15" spans="1:11" x14ac:dyDescent="0.3">
      <c r="A15" s="34" t="s">
        <v>19</v>
      </c>
      <c r="B15" s="35">
        <v>14898382</v>
      </c>
      <c r="C15" s="35">
        <v>17308807</v>
      </c>
      <c r="D15" s="35">
        <v>20528623</v>
      </c>
      <c r="E15" s="35">
        <v>91175827</v>
      </c>
      <c r="F15" s="35">
        <v>143911639</v>
      </c>
    </row>
  </sheetData>
  <mergeCells count="6">
    <mergeCell ref="B6:C6"/>
    <mergeCell ref="E6:F6"/>
    <mergeCell ref="A1:K1"/>
    <mergeCell ref="A2:B2"/>
    <mergeCell ref="B5:C5"/>
    <mergeCell ref="E5:F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9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5321-D1B8-4E36-93A8-A0C01233445C}">
  <dimension ref="A1:C8"/>
  <sheetViews>
    <sheetView workbookViewId="0">
      <selection activeCell="H25" sqref="H25"/>
    </sheetView>
  </sheetViews>
  <sheetFormatPr baseColWidth="10" defaultRowHeight="14.4" x14ac:dyDescent="0.3"/>
  <cols>
    <col min="1" max="1" width="16.5546875" bestFit="1" customWidth="1"/>
    <col min="2" max="2" width="15" bestFit="1" customWidth="1"/>
    <col min="3" max="3" width="14.5546875" bestFit="1" customWidth="1"/>
    <col min="4" max="4" width="14" bestFit="1" customWidth="1"/>
    <col min="5" max="8" width="13" bestFit="1" customWidth="1"/>
    <col min="9" max="10" width="14" bestFit="1" customWidth="1"/>
    <col min="11" max="11" width="13" bestFit="1" customWidth="1"/>
    <col min="12" max="13" width="14" bestFit="1" customWidth="1"/>
    <col min="14" max="14" width="14.5546875" bestFit="1" customWidth="1"/>
    <col min="15" max="25" width="13" bestFit="1" customWidth="1"/>
    <col min="26" max="26" width="15.5546875" bestFit="1" customWidth="1"/>
    <col min="27" max="27" width="19.109375" bestFit="1" customWidth="1"/>
  </cols>
  <sheetData>
    <row r="1" spans="1:3" x14ac:dyDescent="0.3">
      <c r="A1" s="9" t="s">
        <v>28</v>
      </c>
      <c r="B1" t="s" vm="1">
        <v>31</v>
      </c>
    </row>
    <row r="3" spans="1:3" x14ac:dyDescent="0.3">
      <c r="A3" s="9" t="s">
        <v>13</v>
      </c>
      <c r="B3" t="s">
        <v>29</v>
      </c>
      <c r="C3" t="s">
        <v>30</v>
      </c>
    </row>
    <row r="4" spans="1:3" x14ac:dyDescent="0.3">
      <c r="A4" s="10" t="s">
        <v>21</v>
      </c>
      <c r="B4" s="11">
        <v>14898382</v>
      </c>
      <c r="C4" s="11">
        <v>513737.31034482759</v>
      </c>
    </row>
    <row r="5" spans="1:3" x14ac:dyDescent="0.3">
      <c r="A5" s="10" t="s">
        <v>22</v>
      </c>
      <c r="B5" s="11">
        <v>17308807</v>
      </c>
      <c r="C5" s="11">
        <v>910989.84210526315</v>
      </c>
    </row>
    <row r="6" spans="1:3" x14ac:dyDescent="0.3">
      <c r="A6" s="10" t="s">
        <v>23</v>
      </c>
      <c r="B6" s="11">
        <v>20528623</v>
      </c>
      <c r="C6" s="11">
        <v>892548.82608695654</v>
      </c>
    </row>
    <row r="7" spans="1:3" x14ac:dyDescent="0.3">
      <c r="A7" s="10" t="s">
        <v>24</v>
      </c>
      <c r="B7" s="11">
        <v>91175827</v>
      </c>
      <c r="C7" s="11">
        <v>3798992.7916666665</v>
      </c>
    </row>
    <row r="8" spans="1:3" x14ac:dyDescent="0.3">
      <c r="A8" s="10" t="s">
        <v>19</v>
      </c>
      <c r="B8" s="11">
        <v>143911639</v>
      </c>
      <c r="C8" s="11">
        <v>1514859.3578947368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F1EF-285D-49A7-BEB9-B4F5F5AD6DE5}">
  <sheetPr>
    <outlinePr summaryBelow="0"/>
  </sheetPr>
  <dimension ref="B1:G12"/>
  <sheetViews>
    <sheetView showGridLines="0" workbookViewId="0"/>
  </sheetViews>
  <sheetFormatPr baseColWidth="10" defaultRowHeight="14.4" outlineLevelRow="1" outlineLevelCol="1" x14ac:dyDescent="0.3"/>
  <cols>
    <col min="3" max="3" width="6.109375" bestFit="1" customWidth="1"/>
    <col min="4" max="7" width="13.88671875" bestFit="1" customWidth="1" outlineLevel="1"/>
  </cols>
  <sheetData>
    <row r="1" spans="2:7" ht="15" thickBot="1" x14ac:dyDescent="0.35"/>
    <row r="2" spans="2:7" ht="15.6" x14ac:dyDescent="0.3">
      <c r="B2" s="24" t="s">
        <v>105</v>
      </c>
      <c r="C2" s="24"/>
      <c r="D2" s="28"/>
      <c r="E2" s="28"/>
      <c r="F2" s="28"/>
      <c r="G2" s="28"/>
    </row>
    <row r="3" spans="2:7" ht="15.6" collapsed="1" x14ac:dyDescent="0.3">
      <c r="B3" s="23"/>
      <c r="C3" s="23"/>
      <c r="D3" s="29" t="s">
        <v>107</v>
      </c>
      <c r="E3" s="29" t="s">
        <v>101</v>
      </c>
      <c r="F3" s="29" t="s">
        <v>103</v>
      </c>
      <c r="G3" s="29" t="s">
        <v>104</v>
      </c>
    </row>
    <row r="4" spans="2:7" ht="21.6" hidden="1" outlineLevel="1" x14ac:dyDescent="0.3">
      <c r="B4" s="25"/>
      <c r="C4" s="25"/>
      <c r="E4" s="31" t="s">
        <v>102</v>
      </c>
      <c r="F4" s="31" t="s">
        <v>102</v>
      </c>
      <c r="G4" s="31" t="s">
        <v>102</v>
      </c>
    </row>
    <row r="5" spans="2:7" x14ac:dyDescent="0.3">
      <c r="B5" s="26" t="s">
        <v>106</v>
      </c>
      <c r="C5" s="26"/>
      <c r="D5" s="13"/>
      <c r="E5" s="13"/>
      <c r="F5" s="13"/>
      <c r="G5" s="13"/>
    </row>
    <row r="6" spans="2:7" outlineLevel="1" x14ac:dyDescent="0.3">
      <c r="B6" s="25"/>
      <c r="C6" s="25" t="s">
        <v>98</v>
      </c>
      <c r="D6" s="20">
        <v>0.2</v>
      </c>
      <c r="E6" s="30">
        <v>0.2</v>
      </c>
      <c r="F6" s="30">
        <v>0.15</v>
      </c>
      <c r="G6" s="30">
        <v>0.25</v>
      </c>
    </row>
    <row r="7" spans="2:7" x14ac:dyDescent="0.3">
      <c r="B7" s="26" t="s">
        <v>108</v>
      </c>
      <c r="C7" s="26"/>
      <c r="D7" s="13"/>
      <c r="E7" s="13"/>
      <c r="F7" s="13"/>
      <c r="G7" s="13"/>
    </row>
    <row r="8" spans="2:7" outlineLevel="1" x14ac:dyDescent="0.3">
      <c r="B8" s="25"/>
      <c r="C8" s="25" t="s">
        <v>99</v>
      </c>
      <c r="D8" s="21">
        <v>651234.56790123705</v>
      </c>
      <c r="E8" s="21">
        <v>651234.56790123705</v>
      </c>
      <c r="F8" s="21">
        <v>2075064.36496626</v>
      </c>
      <c r="G8" s="21">
        <v>-524416</v>
      </c>
    </row>
    <row r="9" spans="2:7" ht="15" outlineLevel="1" thickBot="1" x14ac:dyDescent="0.35">
      <c r="B9" s="27"/>
      <c r="C9" s="27" t="s">
        <v>100</v>
      </c>
      <c r="D9" s="22">
        <v>0.226541935945967</v>
      </c>
      <c r="E9" s="22">
        <v>0.226541935945967</v>
      </c>
      <c r="F9" s="22">
        <v>0.226541935945967</v>
      </c>
      <c r="G9" s="22">
        <v>0.226541935945967</v>
      </c>
    </row>
    <row r="10" spans="2:7" x14ac:dyDescent="0.3">
      <c r="B10" t="s">
        <v>109</v>
      </c>
    </row>
    <row r="11" spans="2:7" x14ac:dyDescent="0.3">
      <c r="B11" t="s">
        <v>110</v>
      </c>
    </row>
    <row r="12" spans="2:7" x14ac:dyDescent="0.3">
      <c r="B12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3BDF-CEDC-4EE9-994C-05D87E2761DA}">
  <dimension ref="A1:B15"/>
  <sheetViews>
    <sheetView workbookViewId="0">
      <selection activeCell="B28" sqref="B28"/>
    </sheetView>
  </sheetViews>
  <sheetFormatPr baseColWidth="10" defaultRowHeight="14.4" x14ac:dyDescent="0.3"/>
  <cols>
    <col min="1" max="1" width="20.109375" customWidth="1"/>
    <col min="2" max="2" width="15.109375" customWidth="1"/>
  </cols>
  <sheetData>
    <row r="1" spans="1:2" x14ac:dyDescent="0.3">
      <c r="A1" s="72" t="s">
        <v>40</v>
      </c>
      <c r="B1" s="73"/>
    </row>
    <row r="2" spans="1:2" x14ac:dyDescent="0.3">
      <c r="A2" s="14"/>
      <c r="B2" s="15"/>
    </row>
    <row r="3" spans="1:2" x14ac:dyDescent="0.3">
      <c r="A3" s="14" t="s">
        <v>85</v>
      </c>
      <c r="B3" s="16">
        <v>1514859.3578947368</v>
      </c>
    </row>
    <row r="4" spans="1:2" x14ac:dyDescent="0.3">
      <c r="A4" s="14" t="s">
        <v>86</v>
      </c>
      <c r="B4" s="16">
        <v>189097.90356390178</v>
      </c>
    </row>
    <row r="5" spans="1:2" x14ac:dyDescent="0.3">
      <c r="A5" s="14" t="s">
        <v>87</v>
      </c>
      <c r="B5" s="16">
        <v>827244</v>
      </c>
    </row>
    <row r="6" spans="1:2" x14ac:dyDescent="0.3">
      <c r="A6" s="14" t="s">
        <v>88</v>
      </c>
      <c r="B6" s="15" t="e">
        <v>#N/A</v>
      </c>
    </row>
    <row r="7" spans="1:2" x14ac:dyDescent="0.3">
      <c r="A7" s="14" t="s">
        <v>89</v>
      </c>
      <c r="B7" s="16">
        <v>1843098.3770718686</v>
      </c>
    </row>
    <row r="8" spans="1:2" x14ac:dyDescent="0.3">
      <c r="A8" s="14" t="s">
        <v>90</v>
      </c>
      <c r="B8" s="15">
        <v>3397011627564.9561</v>
      </c>
    </row>
    <row r="9" spans="1:2" x14ac:dyDescent="0.3">
      <c r="A9" s="14" t="s">
        <v>91</v>
      </c>
      <c r="B9" s="17">
        <v>5.7302519173418833</v>
      </c>
    </row>
    <row r="10" spans="1:2" x14ac:dyDescent="0.3">
      <c r="A10" s="14" t="s">
        <v>92</v>
      </c>
      <c r="B10" s="17">
        <v>2.3085988824502728</v>
      </c>
    </row>
    <row r="11" spans="1:2" x14ac:dyDescent="0.3">
      <c r="A11" s="14" t="s">
        <v>93</v>
      </c>
      <c r="B11" s="16">
        <v>10018339</v>
      </c>
    </row>
    <row r="12" spans="1:2" x14ac:dyDescent="0.3">
      <c r="A12" s="14" t="s">
        <v>94</v>
      </c>
      <c r="B12" s="16">
        <v>52349</v>
      </c>
    </row>
    <row r="13" spans="1:2" x14ac:dyDescent="0.3">
      <c r="A13" s="14" t="s">
        <v>95</v>
      </c>
      <c r="B13" s="16">
        <v>10070688</v>
      </c>
    </row>
    <row r="14" spans="1:2" x14ac:dyDescent="0.3">
      <c r="A14" s="14" t="s">
        <v>96</v>
      </c>
      <c r="B14" s="16">
        <v>143911639</v>
      </c>
    </row>
    <row r="15" spans="1:2" ht="15" thickBot="1" x14ac:dyDescent="0.35">
      <c r="A15" s="18" t="s">
        <v>97</v>
      </c>
      <c r="B15" s="19">
        <v>95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C4CD-9C52-4E1D-8E8B-770B9D396994}">
  <sheetPr>
    <pageSetUpPr autoPageBreaks="0" fitToPage="1"/>
  </sheetPr>
  <dimension ref="A2:N34"/>
  <sheetViews>
    <sheetView showGridLines="0" tabSelected="1" topLeftCell="A19" zoomScale="110" zoomScaleNormal="110" workbookViewId="0">
      <selection sqref="A1:Q35"/>
    </sheetView>
  </sheetViews>
  <sheetFormatPr baseColWidth="10" defaultRowHeight="14.4" x14ac:dyDescent="0.3"/>
  <cols>
    <col min="12" max="12" width="15" bestFit="1" customWidth="1"/>
    <col min="13" max="13" width="14.5546875" bestFit="1" customWidth="1"/>
    <col min="14" max="14" width="15.88671875" bestFit="1" customWidth="1"/>
    <col min="20" max="20" width="16.5546875" bestFit="1" customWidth="1"/>
    <col min="21" max="21" width="15" bestFit="1" customWidth="1"/>
  </cols>
  <sheetData>
    <row r="2" spans="2:14" x14ac:dyDescent="0.3">
      <c r="B2" s="53" t="s">
        <v>112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2:14" x14ac:dyDescent="0.3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5" spans="2:14" x14ac:dyDescent="0.3">
      <c r="B5" s="54" t="s">
        <v>113</v>
      </c>
      <c r="C5" s="55"/>
      <c r="D5" s="55"/>
      <c r="E5" s="56"/>
      <c r="F5" s="54" t="s">
        <v>114</v>
      </c>
      <c r="G5" s="55"/>
      <c r="H5" s="55"/>
      <c r="I5" s="56"/>
      <c r="J5" s="54" t="s">
        <v>115</v>
      </c>
      <c r="K5" s="55"/>
      <c r="L5" s="55"/>
      <c r="M5" s="56"/>
    </row>
    <row r="6" spans="2:14" x14ac:dyDescent="0.3">
      <c r="B6" s="47">
        <f>GETPIVOTDATA("[Measures].[Total Ventas]",Aux_Dashboard!$I$2)</f>
        <v>48296723</v>
      </c>
      <c r="C6" s="48"/>
      <c r="D6" s="48"/>
      <c r="E6" s="49"/>
      <c r="F6" s="47">
        <f>GETPIVOTDATA("[Measures].[Ticket Promedio]",Aux_Dashboard!$I$2)</f>
        <v>2012363.4583333333</v>
      </c>
      <c r="G6" s="48"/>
      <c r="H6" s="48"/>
      <c r="I6" s="49"/>
      <c r="J6" s="57">
        <f>GETPIVOTDATA("[Measures].[Cantidad Vendida]",Aux_Dashboard!$I$2)</f>
        <v>148</v>
      </c>
      <c r="K6" s="58"/>
      <c r="L6" s="58"/>
      <c r="M6" s="59"/>
    </row>
    <row r="7" spans="2:14" x14ac:dyDescent="0.3">
      <c r="B7" s="50"/>
      <c r="C7" s="51"/>
      <c r="D7" s="51"/>
      <c r="E7" s="52"/>
      <c r="F7" s="50"/>
      <c r="G7" s="51"/>
      <c r="H7" s="51"/>
      <c r="I7" s="52"/>
      <c r="J7" s="60"/>
      <c r="K7" s="61"/>
      <c r="L7" s="61"/>
      <c r="M7" s="62"/>
    </row>
    <row r="28" spans="1:14" x14ac:dyDescent="0.3">
      <c r="A28" s="43" t="s">
        <v>128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30" spans="1:14" ht="14.4" customHeight="1" x14ac:dyDescent="0.3">
      <c r="A30" s="45" t="s">
        <v>129</v>
      </c>
      <c r="B30" s="45"/>
      <c r="C30" s="45"/>
      <c r="D30" s="45"/>
      <c r="F30" s="45" t="s">
        <v>130</v>
      </c>
      <c r="G30" s="45"/>
      <c r="H30" s="45"/>
      <c r="I30" s="45"/>
      <c r="K30" s="45" t="s">
        <v>131</v>
      </c>
      <c r="L30" s="45"/>
      <c r="M30" s="45"/>
      <c r="N30" s="45"/>
    </row>
    <row r="31" spans="1:14" ht="14.4" customHeight="1" x14ac:dyDescent="0.3">
      <c r="A31" s="46" t="s">
        <v>132</v>
      </c>
      <c r="B31" s="46"/>
      <c r="C31" s="46"/>
      <c r="D31" s="46"/>
      <c r="F31" s="46" t="s">
        <v>133</v>
      </c>
      <c r="G31" s="46"/>
      <c r="H31" s="46"/>
      <c r="I31" s="46"/>
      <c r="K31" s="46" t="s">
        <v>134</v>
      </c>
      <c r="L31" s="46"/>
      <c r="M31" s="46"/>
      <c r="N31" s="46"/>
    </row>
    <row r="32" spans="1:14" ht="14.4" customHeight="1" x14ac:dyDescent="0.3">
      <c r="A32" s="46"/>
      <c r="B32" s="46"/>
      <c r="C32" s="46"/>
      <c r="D32" s="46"/>
      <c r="F32" s="46"/>
      <c r="G32" s="46"/>
      <c r="H32" s="46"/>
      <c r="I32" s="46"/>
      <c r="K32" s="46"/>
      <c r="L32" s="46"/>
      <c r="M32" s="46"/>
      <c r="N32" s="46"/>
    </row>
    <row r="33" spans="1:14" ht="14.4" customHeight="1" x14ac:dyDescent="0.3">
      <c r="A33" s="46"/>
      <c r="B33" s="46"/>
      <c r="C33" s="46"/>
      <c r="D33" s="46"/>
      <c r="F33" s="46"/>
      <c r="G33" s="46"/>
      <c r="H33" s="46"/>
      <c r="I33" s="46"/>
      <c r="K33" s="46"/>
      <c r="L33" s="46"/>
      <c r="M33" s="46"/>
      <c r="N33" s="46"/>
    </row>
    <row r="34" spans="1:14" x14ac:dyDescent="0.3">
      <c r="A34" s="46"/>
      <c r="B34" s="46"/>
      <c r="C34" s="46"/>
      <c r="D34" s="46"/>
      <c r="F34" s="46"/>
      <c r="G34" s="46"/>
      <c r="H34" s="46"/>
      <c r="I34" s="46"/>
      <c r="K34" s="46"/>
      <c r="L34" s="46"/>
      <c r="M34" s="46"/>
      <c r="N34" s="46"/>
    </row>
  </sheetData>
  <mergeCells count="14">
    <mergeCell ref="B6:E7"/>
    <mergeCell ref="B2:N3"/>
    <mergeCell ref="B5:E5"/>
    <mergeCell ref="F5:I5"/>
    <mergeCell ref="J5:M5"/>
    <mergeCell ref="F6:I7"/>
    <mergeCell ref="J6:M7"/>
    <mergeCell ref="A28:N28"/>
    <mergeCell ref="A30:D30"/>
    <mergeCell ref="A31:D34"/>
    <mergeCell ref="F30:I30"/>
    <mergeCell ref="F31:I34"/>
    <mergeCell ref="K30:N30"/>
    <mergeCell ref="K31:N34"/>
  </mergeCells>
  <pageMargins left="0.7" right="0.7" top="0.75" bottom="0.75" header="0.3" footer="0.3"/>
  <pageSetup scale="5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7425075-CD78-491D-B1A9-B4220A4094B2}">
            <xm:f>$B$6&lt;Aux_Dashboard!$E$23</xm:f>
            <x14:dxf>
              <fill>
                <patternFill>
                  <bgColor rgb="FFFF7C80"/>
                </patternFill>
              </fill>
            </x14:dxf>
          </x14:cfRule>
          <x14:cfRule type="expression" priority="2" id="{562F1D00-33D0-486A-B6BE-B4B10B57A5F0}">
            <xm:f>$B$6&gt;=Aux_Dashboard!$E$23</xm:f>
            <x14:dxf>
              <fill>
                <patternFill>
                  <bgColor theme="9" tint="0.59996337778862885"/>
                </patternFill>
              </fill>
            </x14:dxf>
          </x14:cfRule>
          <xm:sqref>B6:E7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1098-F446-4705-8E92-1F14B28EDB6F}">
  <dimension ref="A1:E35"/>
  <sheetViews>
    <sheetView workbookViewId="0">
      <selection activeCell="F16" sqref="F16"/>
    </sheetView>
  </sheetViews>
  <sheetFormatPr baseColWidth="10" defaultRowHeight="14.4" x14ac:dyDescent="0.3"/>
  <sheetData>
    <row r="1" spans="1:5" x14ac:dyDescent="0.3">
      <c r="A1" s="77" t="s">
        <v>135</v>
      </c>
      <c r="B1" s="77"/>
      <c r="C1" s="77"/>
      <c r="D1" s="77"/>
      <c r="E1" s="77"/>
    </row>
    <row r="3" spans="1:5" x14ac:dyDescent="0.3">
      <c r="A3" s="76" t="s">
        <v>145</v>
      </c>
      <c r="B3" s="76"/>
      <c r="C3" s="76"/>
      <c r="D3" s="76"/>
      <c r="E3" s="76"/>
    </row>
    <row r="4" spans="1:5" ht="14.4" customHeight="1" x14ac:dyDescent="0.3">
      <c r="A4" s="74" t="s">
        <v>136</v>
      </c>
      <c r="B4" s="74"/>
      <c r="C4" s="74"/>
      <c r="D4" s="74"/>
      <c r="E4" s="74"/>
    </row>
    <row r="5" spans="1:5" x14ac:dyDescent="0.3">
      <c r="A5" s="74"/>
      <c r="B5" s="74"/>
      <c r="C5" s="74"/>
      <c r="D5" s="74"/>
      <c r="E5" s="74"/>
    </row>
    <row r="6" spans="1:5" x14ac:dyDescent="0.3">
      <c r="A6" s="74"/>
      <c r="B6" s="74"/>
      <c r="C6" s="74"/>
      <c r="D6" s="74"/>
      <c r="E6" s="74"/>
    </row>
    <row r="7" spans="1:5" x14ac:dyDescent="0.3">
      <c r="A7" s="74"/>
      <c r="B7" s="74"/>
      <c r="C7" s="74"/>
      <c r="D7" s="74"/>
      <c r="E7" s="74"/>
    </row>
    <row r="9" spans="1:5" x14ac:dyDescent="0.3">
      <c r="A9" s="76" t="s">
        <v>137</v>
      </c>
      <c r="B9" s="76"/>
      <c r="C9" s="76"/>
      <c r="D9" s="76"/>
      <c r="E9" s="76"/>
    </row>
    <row r="10" spans="1:5" x14ac:dyDescent="0.3">
      <c r="A10" s="41" t="s">
        <v>146</v>
      </c>
    </row>
    <row r="11" spans="1:5" ht="14.4" customHeight="1" x14ac:dyDescent="0.3">
      <c r="A11" s="74" t="s">
        <v>138</v>
      </c>
      <c r="B11" s="74"/>
      <c r="C11" s="74"/>
      <c r="D11" s="74"/>
      <c r="E11" s="74"/>
    </row>
    <row r="12" spans="1:5" x14ac:dyDescent="0.3">
      <c r="A12" s="74"/>
      <c r="B12" s="74"/>
      <c r="C12" s="74"/>
      <c r="D12" s="74"/>
      <c r="E12" s="74"/>
    </row>
    <row r="13" spans="1:5" x14ac:dyDescent="0.3">
      <c r="A13" s="74"/>
      <c r="B13" s="74"/>
      <c r="C13" s="74"/>
      <c r="D13" s="74"/>
      <c r="E13" s="74"/>
    </row>
    <row r="14" spans="1:5" x14ac:dyDescent="0.3">
      <c r="A14" s="74"/>
      <c r="B14" s="74"/>
      <c r="C14" s="74"/>
      <c r="D14" s="74"/>
      <c r="E14" s="74"/>
    </row>
    <row r="16" spans="1:5" x14ac:dyDescent="0.3">
      <c r="A16" s="75" t="s">
        <v>139</v>
      </c>
      <c r="B16" s="75"/>
      <c r="C16" s="75"/>
      <c r="D16" s="75"/>
      <c r="E16" s="75"/>
    </row>
    <row r="17" spans="1:5" ht="14.4" customHeight="1" x14ac:dyDescent="0.3">
      <c r="A17" s="74" t="s">
        <v>140</v>
      </c>
      <c r="B17" s="74"/>
      <c r="C17" s="74"/>
      <c r="D17" s="74"/>
      <c r="E17" s="74"/>
    </row>
    <row r="18" spans="1:5" x14ac:dyDescent="0.3">
      <c r="A18" s="74"/>
      <c r="B18" s="74"/>
      <c r="C18" s="74"/>
      <c r="D18" s="74"/>
      <c r="E18" s="74"/>
    </row>
    <row r="19" spans="1:5" x14ac:dyDescent="0.3">
      <c r="A19" s="74"/>
      <c r="B19" s="74"/>
      <c r="C19" s="74"/>
      <c r="D19" s="74"/>
      <c r="E19" s="74"/>
    </row>
    <row r="20" spans="1:5" x14ac:dyDescent="0.3">
      <c r="A20" s="74"/>
      <c r="B20" s="74"/>
      <c r="C20" s="74"/>
      <c r="D20" s="74"/>
      <c r="E20" s="74"/>
    </row>
    <row r="21" spans="1:5" x14ac:dyDescent="0.3">
      <c r="A21" s="42"/>
      <c r="B21" s="42"/>
      <c r="C21" s="42"/>
      <c r="D21" s="42"/>
    </row>
    <row r="22" spans="1:5" x14ac:dyDescent="0.3">
      <c r="A22" s="76" t="s">
        <v>141</v>
      </c>
      <c r="B22" s="76"/>
      <c r="C22" s="76"/>
      <c r="D22" s="76"/>
      <c r="E22" s="76"/>
    </row>
    <row r="23" spans="1:5" ht="14.4" customHeight="1" x14ac:dyDescent="0.3">
      <c r="A23" s="74" t="s">
        <v>142</v>
      </c>
      <c r="B23" s="74"/>
      <c r="C23" s="74"/>
      <c r="D23" s="74"/>
      <c r="E23" s="74"/>
    </row>
    <row r="24" spans="1:5" x14ac:dyDescent="0.3">
      <c r="A24" s="74"/>
      <c r="B24" s="74"/>
      <c r="C24" s="74"/>
      <c r="D24" s="74"/>
      <c r="E24" s="74"/>
    </row>
    <row r="25" spans="1:5" x14ac:dyDescent="0.3">
      <c r="A25" s="74"/>
      <c r="B25" s="74"/>
      <c r="C25" s="74"/>
      <c r="D25" s="74"/>
      <c r="E25" s="74"/>
    </row>
    <row r="26" spans="1:5" x14ac:dyDescent="0.3">
      <c r="A26" s="74"/>
      <c r="B26" s="74"/>
      <c r="C26" s="74"/>
      <c r="D26" s="74"/>
      <c r="E26" s="74"/>
    </row>
    <row r="27" spans="1:5" x14ac:dyDescent="0.3">
      <c r="A27" s="74"/>
      <c r="B27" s="74"/>
      <c r="C27" s="74"/>
      <c r="D27" s="74"/>
      <c r="E27" s="74"/>
    </row>
    <row r="28" spans="1:5" x14ac:dyDescent="0.3">
      <c r="A28" s="74"/>
      <c r="B28" s="74"/>
      <c r="C28" s="74"/>
      <c r="D28" s="74"/>
      <c r="E28" s="74"/>
    </row>
    <row r="30" spans="1:5" x14ac:dyDescent="0.3">
      <c r="A30" s="76" t="s">
        <v>143</v>
      </c>
      <c r="B30" s="76"/>
      <c r="C30" s="76"/>
      <c r="D30" s="76"/>
      <c r="E30" s="76"/>
    </row>
    <row r="31" spans="1:5" ht="14.4" customHeight="1" x14ac:dyDescent="0.3">
      <c r="A31" s="74" t="s">
        <v>144</v>
      </c>
      <c r="B31" s="74"/>
      <c r="C31" s="74"/>
      <c r="D31" s="74"/>
      <c r="E31" s="74"/>
    </row>
    <row r="32" spans="1:5" x14ac:dyDescent="0.3">
      <c r="A32" s="74"/>
      <c r="B32" s="74"/>
      <c r="C32" s="74"/>
      <c r="D32" s="74"/>
      <c r="E32" s="74"/>
    </row>
    <row r="33" spans="1:5" x14ac:dyDescent="0.3">
      <c r="A33" s="74"/>
      <c r="B33" s="74"/>
      <c r="C33" s="74"/>
      <c r="D33" s="74"/>
      <c r="E33" s="74"/>
    </row>
    <row r="34" spans="1:5" x14ac:dyDescent="0.3">
      <c r="A34" s="74"/>
      <c r="B34" s="74"/>
      <c r="C34" s="74"/>
      <c r="D34" s="74"/>
      <c r="E34" s="74"/>
    </row>
    <row r="35" spans="1:5" x14ac:dyDescent="0.3">
      <c r="A35" s="74"/>
      <c r="B35" s="74"/>
      <c r="C35" s="74"/>
      <c r="D35" s="74"/>
      <c r="E35" s="74"/>
    </row>
  </sheetData>
  <mergeCells count="11">
    <mergeCell ref="A1:E1"/>
    <mergeCell ref="A4:E7"/>
    <mergeCell ref="A11:E14"/>
    <mergeCell ref="A17:E20"/>
    <mergeCell ref="A23:E28"/>
    <mergeCell ref="A31:E35"/>
    <mergeCell ref="A16:E16"/>
    <mergeCell ref="A9:E9"/>
    <mergeCell ref="A3:E3"/>
    <mergeCell ref="A22:E22"/>
    <mergeCell ref="A30:E3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A376-892D-49CC-9D9C-5B30FD6A3C2A}">
  <dimension ref="A1:R23"/>
  <sheetViews>
    <sheetView topLeftCell="D1" workbookViewId="0">
      <selection activeCell="G18" sqref="G18"/>
    </sheetView>
  </sheetViews>
  <sheetFormatPr baseColWidth="10" defaultRowHeight="14.4" x14ac:dyDescent="0.3"/>
  <cols>
    <col min="2" max="2" width="15.109375" style="37" customWidth="1"/>
    <col min="3" max="3" width="14.5546875" style="38" customWidth="1"/>
    <col min="5" max="5" width="16.5546875" bestFit="1" customWidth="1"/>
    <col min="6" max="6" width="15.88671875" bestFit="1" customWidth="1"/>
    <col min="7" max="7" width="14" bestFit="1" customWidth="1"/>
    <col min="9" max="9" width="14" bestFit="1" customWidth="1"/>
    <col min="10" max="10" width="14.5546875" bestFit="1" customWidth="1"/>
    <col min="11" max="11" width="15.88671875" bestFit="1" customWidth="1"/>
    <col min="17" max="17" width="16.5546875" bestFit="1" customWidth="1"/>
    <col min="18" max="18" width="14" bestFit="1" customWidth="1"/>
  </cols>
  <sheetData>
    <row r="1" spans="1:18" x14ac:dyDescent="0.3">
      <c r="A1" t="s">
        <v>37</v>
      </c>
      <c r="B1" s="37" t="s">
        <v>116</v>
      </c>
      <c r="C1" s="38" t="s">
        <v>126</v>
      </c>
    </row>
    <row r="2" spans="1:18" x14ac:dyDescent="0.3">
      <c r="A2" t="str">
        <f>IF(OR(E3="",E3="Total general"),"",E3)</f>
        <v>Archivador</v>
      </c>
      <c r="B2" s="37">
        <f>IF(OR(E3="",E3="Total general"),"",F3)</f>
        <v>9</v>
      </c>
      <c r="C2" s="38">
        <f>IF(OR(E3="",E3="Total general"),"",G3)</f>
        <v>1720225</v>
      </c>
      <c r="E2" s="9" t="s">
        <v>13</v>
      </c>
      <c r="F2" t="s">
        <v>116</v>
      </c>
      <c r="G2" t="s">
        <v>29</v>
      </c>
      <c r="I2" t="s">
        <v>29</v>
      </c>
      <c r="J2" t="s">
        <v>30</v>
      </c>
      <c r="K2" t="s">
        <v>116</v>
      </c>
      <c r="Q2" s="9" t="s">
        <v>13</v>
      </c>
      <c r="R2" t="s">
        <v>29</v>
      </c>
    </row>
    <row r="3" spans="1:18" x14ac:dyDescent="0.3">
      <c r="A3" t="str">
        <f t="shared" ref="A3:A17" si="0">IF(OR(E4="",E4="Total general"),"",E4)</f>
        <v>Aspiradora</v>
      </c>
      <c r="B3" s="37">
        <f t="shared" ref="B3:B17" si="1">IF(OR(E4="",E4="Total general"),"",F4)</f>
        <v>12</v>
      </c>
      <c r="C3" s="38">
        <f t="shared" ref="C3:C17" si="2">IF(OR(E4="",E4="Total general"),"",G4)</f>
        <v>3000588</v>
      </c>
      <c r="E3" s="10" t="s">
        <v>45</v>
      </c>
      <c r="F3">
        <v>9</v>
      </c>
      <c r="G3" s="11">
        <v>1720225</v>
      </c>
      <c r="I3" s="11">
        <v>48296723</v>
      </c>
      <c r="J3" s="11">
        <v>2012363.4583333333</v>
      </c>
      <c r="K3">
        <v>148</v>
      </c>
      <c r="Q3" s="10" t="s">
        <v>117</v>
      </c>
      <c r="R3" s="11">
        <v>6429757</v>
      </c>
    </row>
    <row r="4" spans="1:18" x14ac:dyDescent="0.3">
      <c r="A4" t="str">
        <f t="shared" si="0"/>
        <v>Auriculares</v>
      </c>
      <c r="B4" s="37">
        <f t="shared" si="1"/>
        <v>4</v>
      </c>
      <c r="C4" s="38">
        <f t="shared" si="2"/>
        <v>422440</v>
      </c>
      <c r="E4" s="10" t="s">
        <v>61</v>
      </c>
      <c r="F4">
        <v>12</v>
      </c>
      <c r="G4" s="11">
        <v>3000588</v>
      </c>
      <c r="Q4" s="10" t="s">
        <v>118</v>
      </c>
      <c r="R4" s="11">
        <v>4199269</v>
      </c>
    </row>
    <row r="5" spans="1:18" x14ac:dyDescent="0.3">
      <c r="A5" t="str">
        <f t="shared" si="0"/>
        <v>Calculadora</v>
      </c>
      <c r="B5" s="37">
        <f t="shared" si="1"/>
        <v>8</v>
      </c>
      <c r="C5" s="38">
        <f t="shared" si="2"/>
        <v>1034976</v>
      </c>
      <c r="E5" s="10" t="s">
        <v>48</v>
      </c>
      <c r="F5">
        <v>4</v>
      </c>
      <c r="G5" s="11">
        <v>422440</v>
      </c>
      <c r="Q5" s="10" t="s">
        <v>119</v>
      </c>
      <c r="R5" s="11">
        <v>16621320</v>
      </c>
    </row>
    <row r="6" spans="1:18" x14ac:dyDescent="0.3">
      <c r="A6" t="str">
        <f t="shared" si="0"/>
        <v>Monitor</v>
      </c>
      <c r="B6" s="37">
        <f t="shared" si="1"/>
        <v>12</v>
      </c>
      <c r="C6" s="38">
        <f t="shared" si="2"/>
        <v>7377876</v>
      </c>
      <c r="E6" s="10" t="s">
        <v>65</v>
      </c>
      <c r="F6">
        <v>8</v>
      </c>
      <c r="G6" s="11">
        <v>1034976</v>
      </c>
      <c r="Q6" s="10" t="s">
        <v>120</v>
      </c>
      <c r="R6" s="11">
        <v>693055</v>
      </c>
    </row>
    <row r="7" spans="1:18" x14ac:dyDescent="0.3">
      <c r="A7" t="str">
        <f t="shared" si="0"/>
        <v>Notebook</v>
      </c>
      <c r="B7" s="37">
        <f t="shared" si="1"/>
        <v>13</v>
      </c>
      <c r="C7" s="38">
        <f t="shared" si="2"/>
        <v>8380281</v>
      </c>
      <c r="E7" s="10" t="s">
        <v>63</v>
      </c>
      <c r="F7">
        <v>12</v>
      </c>
      <c r="G7" s="11">
        <v>7377876</v>
      </c>
      <c r="Q7" s="10" t="s">
        <v>121</v>
      </c>
      <c r="R7" s="11">
        <v>900466</v>
      </c>
    </row>
    <row r="8" spans="1:18" x14ac:dyDescent="0.3">
      <c r="A8" t="str">
        <f t="shared" si="0"/>
        <v>Silla</v>
      </c>
      <c r="B8" s="37">
        <f t="shared" si="1"/>
        <v>1</v>
      </c>
      <c r="C8" s="38">
        <f t="shared" si="2"/>
        <v>52349</v>
      </c>
      <c r="E8" s="10" t="s">
        <v>68</v>
      </c>
      <c r="F8">
        <v>13</v>
      </c>
      <c r="G8" s="11">
        <v>8380281</v>
      </c>
      <c r="Q8" s="10" t="s">
        <v>122</v>
      </c>
      <c r="R8" s="11">
        <v>6356031</v>
      </c>
    </row>
    <row r="9" spans="1:18" x14ac:dyDescent="0.3">
      <c r="A9" t="str">
        <f t="shared" si="0"/>
        <v>Smartphone</v>
      </c>
      <c r="B9" s="37">
        <f t="shared" si="1"/>
        <v>14</v>
      </c>
      <c r="C9" s="38">
        <f t="shared" si="2"/>
        <v>9981426</v>
      </c>
      <c r="E9" s="10" t="s">
        <v>81</v>
      </c>
      <c r="F9">
        <v>1</v>
      </c>
      <c r="G9" s="11">
        <v>52349</v>
      </c>
      <c r="Q9" s="10" t="s">
        <v>123</v>
      </c>
      <c r="R9" s="11">
        <v>5155092</v>
      </c>
    </row>
    <row r="10" spans="1:18" x14ac:dyDescent="0.3">
      <c r="A10" t="str">
        <f t="shared" si="0"/>
        <v>Tablet</v>
      </c>
      <c r="B10" s="37">
        <f t="shared" si="1"/>
        <v>16</v>
      </c>
      <c r="C10" s="38">
        <f t="shared" si="2"/>
        <v>11275848</v>
      </c>
      <c r="E10" s="10" t="s">
        <v>83</v>
      </c>
      <c r="F10">
        <v>14</v>
      </c>
      <c r="G10" s="11">
        <v>9981426</v>
      </c>
      <c r="Q10" s="10" t="s">
        <v>124</v>
      </c>
      <c r="R10" s="11">
        <v>5733187</v>
      </c>
    </row>
    <row r="11" spans="1:18" x14ac:dyDescent="0.3">
      <c r="A11" t="str">
        <f t="shared" si="0"/>
        <v>Teclado</v>
      </c>
      <c r="B11" s="37">
        <f t="shared" si="1"/>
        <v>35</v>
      </c>
      <c r="C11" s="38">
        <f t="shared" si="2"/>
        <v>2221005</v>
      </c>
      <c r="E11" s="10" t="s">
        <v>70</v>
      </c>
      <c r="F11">
        <v>16</v>
      </c>
      <c r="G11" s="11">
        <v>11275848</v>
      </c>
      <c r="Q11" s="10" t="s">
        <v>125</v>
      </c>
      <c r="R11" s="11">
        <v>2208546</v>
      </c>
    </row>
    <row r="12" spans="1:18" x14ac:dyDescent="0.3">
      <c r="A12" t="str">
        <f t="shared" si="0"/>
        <v>Ventilador</v>
      </c>
      <c r="B12" s="37">
        <f t="shared" si="1"/>
        <v>24</v>
      </c>
      <c r="C12" s="38">
        <f t="shared" si="2"/>
        <v>2829709</v>
      </c>
      <c r="E12" s="10" t="s">
        <v>51</v>
      </c>
      <c r="F12">
        <v>35</v>
      </c>
      <c r="G12" s="11">
        <v>2221005</v>
      </c>
      <c r="Q12" s="10" t="s">
        <v>19</v>
      </c>
      <c r="R12" s="11">
        <v>48296723</v>
      </c>
    </row>
    <row r="13" spans="1:18" x14ac:dyDescent="0.3">
      <c r="A13" t="str">
        <f t="shared" si="0"/>
        <v/>
      </c>
      <c r="B13" s="37" t="str">
        <f t="shared" si="1"/>
        <v/>
      </c>
      <c r="C13" s="38" t="str">
        <f t="shared" si="2"/>
        <v/>
      </c>
      <c r="E13" s="10" t="s">
        <v>55</v>
      </c>
      <c r="F13">
        <v>24</v>
      </c>
      <c r="G13" s="11">
        <v>2829709</v>
      </c>
    </row>
    <row r="14" spans="1:18" x14ac:dyDescent="0.3">
      <c r="A14" t="str">
        <f t="shared" si="0"/>
        <v/>
      </c>
      <c r="B14" s="37" t="str">
        <f t="shared" si="1"/>
        <v/>
      </c>
      <c r="C14" s="38" t="str">
        <f t="shared" si="2"/>
        <v/>
      </c>
      <c r="E14" s="10" t="s">
        <v>19</v>
      </c>
      <c r="F14">
        <v>148</v>
      </c>
      <c r="G14" s="11">
        <v>48296723</v>
      </c>
    </row>
    <row r="15" spans="1:18" x14ac:dyDescent="0.3">
      <c r="A15" t="str">
        <f t="shared" si="0"/>
        <v/>
      </c>
      <c r="B15" s="37" t="str">
        <f t="shared" si="1"/>
        <v/>
      </c>
      <c r="C15" s="38" t="str">
        <f t="shared" si="2"/>
        <v/>
      </c>
    </row>
    <row r="16" spans="1:18" x14ac:dyDescent="0.3">
      <c r="A16" t="str">
        <f t="shared" si="0"/>
        <v/>
      </c>
      <c r="B16" s="37" t="str">
        <f t="shared" si="1"/>
        <v/>
      </c>
      <c r="C16" s="38" t="str">
        <f t="shared" si="2"/>
        <v/>
      </c>
    </row>
    <row r="17" spans="1:5" x14ac:dyDescent="0.3">
      <c r="A17" t="str">
        <f t="shared" si="0"/>
        <v/>
      </c>
      <c r="B17" s="37" t="str">
        <f t="shared" si="1"/>
        <v/>
      </c>
      <c r="C17" s="38" t="str">
        <f t="shared" si="2"/>
        <v/>
      </c>
    </row>
    <row r="22" spans="1:5" x14ac:dyDescent="0.3">
      <c r="E22" s="39" t="s">
        <v>127</v>
      </c>
    </row>
    <row r="23" spans="1:5" x14ac:dyDescent="0.3">
      <c r="E23" s="40">
        <v>140000000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B473-5463-48DB-84A6-DDD57B6870B9}">
  <dimension ref="A1:K96"/>
  <sheetViews>
    <sheetView workbookViewId="0">
      <selection activeCell="G1" sqref="G1"/>
    </sheetView>
  </sheetViews>
  <sheetFormatPr baseColWidth="10" defaultRowHeight="14.4" x14ac:dyDescent="0.3"/>
  <cols>
    <col min="1" max="1" width="10.33203125" bestFit="1" customWidth="1"/>
    <col min="2" max="2" width="8.77734375" bestFit="1" customWidth="1"/>
    <col min="3" max="3" width="11.21875" bestFit="1" customWidth="1"/>
    <col min="4" max="4" width="10.77734375" bestFit="1" customWidth="1"/>
    <col min="5" max="5" width="10.88671875" bestFit="1" customWidth="1"/>
    <col min="6" max="6" width="16" bestFit="1" customWidth="1"/>
    <col min="7" max="7" width="9" bestFit="1" customWidth="1"/>
    <col min="8" max="8" width="9.21875" bestFit="1" customWidth="1"/>
    <col min="9" max="9" width="15.77734375" bestFit="1" customWidth="1"/>
    <col min="10" max="10" width="13.33203125" bestFit="1" customWidth="1"/>
    <col min="11" max="11" width="11.77734375" bestFit="1" customWidth="1"/>
  </cols>
  <sheetData>
    <row r="1" spans="1:11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 x14ac:dyDescent="0.3">
      <c r="A2" s="12">
        <v>45658</v>
      </c>
      <c r="B2" t="s">
        <v>15</v>
      </c>
      <c r="C2" t="s">
        <v>23</v>
      </c>
      <c r="D2" t="s">
        <v>45</v>
      </c>
      <c r="E2">
        <v>2</v>
      </c>
      <c r="F2">
        <v>138659</v>
      </c>
      <c r="G2">
        <v>277318</v>
      </c>
      <c r="H2" t="s">
        <v>46</v>
      </c>
      <c r="I2">
        <v>1</v>
      </c>
      <c r="J2">
        <v>11</v>
      </c>
      <c r="K2">
        <v>22</v>
      </c>
    </row>
    <row r="3" spans="1:11" x14ac:dyDescent="0.3">
      <c r="A3" s="12">
        <v>45713</v>
      </c>
      <c r="B3" t="s">
        <v>17</v>
      </c>
      <c r="C3" t="s">
        <v>21</v>
      </c>
      <c r="D3" t="s">
        <v>47</v>
      </c>
      <c r="E3">
        <v>7</v>
      </c>
      <c r="F3">
        <v>96286</v>
      </c>
      <c r="G3">
        <v>674002</v>
      </c>
      <c r="H3" t="s">
        <v>46</v>
      </c>
      <c r="I3">
        <v>21</v>
      </c>
      <c r="J3">
        <v>1</v>
      </c>
      <c r="K3">
        <v>22</v>
      </c>
    </row>
    <row r="4" spans="1:11" x14ac:dyDescent="0.3">
      <c r="A4" s="12">
        <v>45659</v>
      </c>
      <c r="B4" t="s">
        <v>16</v>
      </c>
      <c r="C4" t="s">
        <v>21</v>
      </c>
      <c r="D4" t="s">
        <v>48</v>
      </c>
      <c r="E4">
        <v>6</v>
      </c>
      <c r="F4">
        <v>57655</v>
      </c>
      <c r="G4">
        <v>345930</v>
      </c>
      <c r="H4" t="s">
        <v>49</v>
      </c>
      <c r="I4">
        <v>2</v>
      </c>
      <c r="J4">
        <v>3</v>
      </c>
      <c r="K4">
        <v>21</v>
      </c>
    </row>
    <row r="5" spans="1:11" x14ac:dyDescent="0.3">
      <c r="A5" s="12">
        <v>45672</v>
      </c>
      <c r="B5" t="s">
        <v>15</v>
      </c>
      <c r="C5" t="s">
        <v>21</v>
      </c>
      <c r="D5" t="s">
        <v>48</v>
      </c>
      <c r="E5">
        <v>7</v>
      </c>
      <c r="F5">
        <v>105962</v>
      </c>
      <c r="G5">
        <v>741734</v>
      </c>
      <c r="H5" t="s">
        <v>50</v>
      </c>
      <c r="I5">
        <v>6</v>
      </c>
      <c r="J5">
        <v>3</v>
      </c>
      <c r="K5">
        <v>10</v>
      </c>
    </row>
    <row r="6" spans="1:11" x14ac:dyDescent="0.3">
      <c r="A6" s="12">
        <v>45664</v>
      </c>
      <c r="B6" t="s">
        <v>14</v>
      </c>
      <c r="C6" t="s">
        <v>21</v>
      </c>
      <c r="D6" t="s">
        <v>51</v>
      </c>
      <c r="E6">
        <v>3</v>
      </c>
      <c r="F6">
        <v>54327</v>
      </c>
      <c r="G6">
        <v>162981</v>
      </c>
      <c r="H6" t="s">
        <v>52</v>
      </c>
      <c r="I6">
        <v>3</v>
      </c>
      <c r="J6">
        <v>2</v>
      </c>
      <c r="K6">
        <v>25</v>
      </c>
    </row>
    <row r="7" spans="1:11" x14ac:dyDescent="0.3">
      <c r="A7" s="12">
        <v>45723</v>
      </c>
      <c r="B7" t="s">
        <v>18</v>
      </c>
      <c r="C7" t="s">
        <v>21</v>
      </c>
      <c r="D7" t="s">
        <v>47</v>
      </c>
      <c r="E7">
        <v>3</v>
      </c>
      <c r="F7">
        <v>73840</v>
      </c>
      <c r="G7">
        <v>221520</v>
      </c>
      <c r="H7" t="s">
        <v>52</v>
      </c>
      <c r="I7">
        <v>26</v>
      </c>
      <c r="J7">
        <v>1</v>
      </c>
      <c r="K7">
        <v>25</v>
      </c>
    </row>
    <row r="8" spans="1:11" x14ac:dyDescent="0.3">
      <c r="A8" s="12">
        <v>45718</v>
      </c>
      <c r="B8" t="s">
        <v>16</v>
      </c>
      <c r="C8" t="s">
        <v>21</v>
      </c>
      <c r="D8" t="s">
        <v>48</v>
      </c>
      <c r="E8">
        <v>7</v>
      </c>
      <c r="F8">
        <v>61618</v>
      </c>
      <c r="G8">
        <v>431326</v>
      </c>
      <c r="H8" t="s">
        <v>53</v>
      </c>
      <c r="I8">
        <v>25</v>
      </c>
      <c r="J8">
        <v>3</v>
      </c>
      <c r="K8">
        <v>4</v>
      </c>
    </row>
    <row r="9" spans="1:11" x14ac:dyDescent="0.3">
      <c r="A9" s="12">
        <v>45688</v>
      </c>
      <c r="B9" t="s">
        <v>14</v>
      </c>
      <c r="C9" t="s">
        <v>21</v>
      </c>
      <c r="D9" t="s">
        <v>51</v>
      </c>
      <c r="E9">
        <v>4</v>
      </c>
      <c r="F9">
        <v>97754</v>
      </c>
      <c r="G9">
        <v>391016</v>
      </c>
      <c r="H9" t="s">
        <v>54</v>
      </c>
      <c r="I9">
        <v>11</v>
      </c>
      <c r="J9">
        <v>2</v>
      </c>
      <c r="K9">
        <v>11</v>
      </c>
    </row>
    <row r="10" spans="1:11" x14ac:dyDescent="0.3">
      <c r="A10" s="12">
        <v>45666</v>
      </c>
      <c r="B10" t="s">
        <v>14</v>
      </c>
      <c r="C10" t="s">
        <v>22</v>
      </c>
      <c r="D10" t="s">
        <v>55</v>
      </c>
      <c r="E10">
        <v>6</v>
      </c>
      <c r="F10">
        <v>52314</v>
      </c>
      <c r="G10">
        <v>313884</v>
      </c>
      <c r="H10" t="s">
        <v>56</v>
      </c>
      <c r="I10">
        <v>4</v>
      </c>
      <c r="J10">
        <v>7</v>
      </c>
      <c r="K10">
        <v>24</v>
      </c>
    </row>
    <row r="11" spans="1:11" x14ac:dyDescent="0.3">
      <c r="A11" s="12">
        <v>45698</v>
      </c>
      <c r="B11" t="s">
        <v>16</v>
      </c>
      <c r="C11" t="s">
        <v>22</v>
      </c>
      <c r="D11" t="s">
        <v>57</v>
      </c>
      <c r="E11">
        <v>5</v>
      </c>
      <c r="F11">
        <v>205738</v>
      </c>
      <c r="G11">
        <v>1028690</v>
      </c>
      <c r="H11" t="s">
        <v>56</v>
      </c>
      <c r="I11">
        <v>13</v>
      </c>
      <c r="J11">
        <v>5</v>
      </c>
      <c r="K11">
        <v>24</v>
      </c>
    </row>
    <row r="12" spans="1:11" x14ac:dyDescent="0.3">
      <c r="A12" s="12">
        <v>45680</v>
      </c>
      <c r="B12" t="s">
        <v>14</v>
      </c>
      <c r="C12" t="s">
        <v>22</v>
      </c>
      <c r="D12" t="s">
        <v>55</v>
      </c>
      <c r="E12">
        <v>11</v>
      </c>
      <c r="F12">
        <v>126421</v>
      </c>
      <c r="G12">
        <v>1390631</v>
      </c>
      <c r="H12" t="s">
        <v>58</v>
      </c>
      <c r="I12">
        <v>10</v>
      </c>
      <c r="J12">
        <v>7</v>
      </c>
      <c r="K12">
        <v>7</v>
      </c>
    </row>
    <row r="13" spans="1:11" x14ac:dyDescent="0.3">
      <c r="A13" s="12">
        <v>45700</v>
      </c>
      <c r="B13" t="s">
        <v>14</v>
      </c>
      <c r="C13" t="s">
        <v>22</v>
      </c>
      <c r="D13" t="s">
        <v>55</v>
      </c>
      <c r="E13">
        <v>7</v>
      </c>
      <c r="F13">
        <v>160742</v>
      </c>
      <c r="G13">
        <v>1125194</v>
      </c>
      <c r="H13" t="s">
        <v>58</v>
      </c>
      <c r="I13">
        <v>16</v>
      </c>
      <c r="J13">
        <v>7</v>
      </c>
      <c r="K13">
        <v>7</v>
      </c>
    </row>
    <row r="14" spans="1:11" x14ac:dyDescent="0.3">
      <c r="A14" s="12">
        <v>45713</v>
      </c>
      <c r="B14" t="s">
        <v>14</v>
      </c>
      <c r="C14" t="s">
        <v>21</v>
      </c>
      <c r="D14" t="s">
        <v>51</v>
      </c>
      <c r="E14">
        <v>1</v>
      </c>
      <c r="F14">
        <v>73487</v>
      </c>
      <c r="G14">
        <v>73487</v>
      </c>
      <c r="H14" t="s">
        <v>58</v>
      </c>
      <c r="I14">
        <v>22</v>
      </c>
      <c r="J14">
        <v>2</v>
      </c>
      <c r="K14">
        <v>7</v>
      </c>
    </row>
    <row r="15" spans="1:11" x14ac:dyDescent="0.3">
      <c r="A15" s="12">
        <v>45707</v>
      </c>
      <c r="B15" t="s">
        <v>17</v>
      </c>
      <c r="C15" t="s">
        <v>23</v>
      </c>
      <c r="D15" t="s">
        <v>59</v>
      </c>
      <c r="E15">
        <v>10</v>
      </c>
      <c r="F15">
        <v>73430</v>
      </c>
      <c r="G15">
        <v>734300</v>
      </c>
      <c r="H15" t="s">
        <v>60</v>
      </c>
      <c r="I15">
        <v>18</v>
      </c>
      <c r="J15">
        <v>10</v>
      </c>
      <c r="K15">
        <v>8</v>
      </c>
    </row>
    <row r="16" spans="1:11" x14ac:dyDescent="0.3">
      <c r="A16" s="12">
        <v>45668</v>
      </c>
      <c r="B16" t="s">
        <v>15</v>
      </c>
      <c r="C16" t="s">
        <v>22</v>
      </c>
      <c r="D16" t="s">
        <v>61</v>
      </c>
      <c r="E16">
        <v>2</v>
      </c>
      <c r="F16">
        <v>172165</v>
      </c>
      <c r="G16">
        <v>344330</v>
      </c>
      <c r="H16" t="s">
        <v>62</v>
      </c>
      <c r="I16">
        <v>5</v>
      </c>
      <c r="J16">
        <v>8</v>
      </c>
      <c r="K16">
        <v>23</v>
      </c>
    </row>
    <row r="17" spans="1:11" x14ac:dyDescent="0.3">
      <c r="A17" s="12">
        <v>45689</v>
      </c>
      <c r="B17" t="s">
        <v>17</v>
      </c>
      <c r="C17" t="s">
        <v>24</v>
      </c>
      <c r="D17" t="s">
        <v>63</v>
      </c>
      <c r="E17">
        <v>3</v>
      </c>
      <c r="F17">
        <v>321586</v>
      </c>
      <c r="G17">
        <v>964758</v>
      </c>
      <c r="H17" t="s">
        <v>62</v>
      </c>
      <c r="I17">
        <v>12</v>
      </c>
      <c r="J17">
        <v>14</v>
      </c>
      <c r="K17">
        <v>23</v>
      </c>
    </row>
    <row r="18" spans="1:11" x14ac:dyDescent="0.3">
      <c r="A18" s="12">
        <v>45699</v>
      </c>
      <c r="B18" t="s">
        <v>16</v>
      </c>
      <c r="C18" t="s">
        <v>22</v>
      </c>
      <c r="D18" t="s">
        <v>57</v>
      </c>
      <c r="E18">
        <v>1</v>
      </c>
      <c r="F18">
        <v>161605</v>
      </c>
      <c r="G18">
        <v>161605</v>
      </c>
      <c r="H18" t="s">
        <v>64</v>
      </c>
      <c r="I18">
        <v>15</v>
      </c>
      <c r="J18">
        <v>5</v>
      </c>
      <c r="K18">
        <v>18</v>
      </c>
    </row>
    <row r="19" spans="1:11" x14ac:dyDescent="0.3">
      <c r="A19" s="12">
        <v>45698</v>
      </c>
      <c r="B19" t="s">
        <v>16</v>
      </c>
      <c r="C19" t="s">
        <v>23</v>
      </c>
      <c r="D19" t="s">
        <v>65</v>
      </c>
      <c r="E19">
        <v>4</v>
      </c>
      <c r="F19">
        <v>195764</v>
      </c>
      <c r="G19">
        <v>783056</v>
      </c>
      <c r="H19" t="s">
        <v>64</v>
      </c>
      <c r="I19">
        <v>14</v>
      </c>
      <c r="J19">
        <v>12</v>
      </c>
      <c r="K19">
        <v>18</v>
      </c>
    </row>
    <row r="20" spans="1:11" x14ac:dyDescent="0.3">
      <c r="A20" s="12">
        <v>45707</v>
      </c>
      <c r="B20" t="s">
        <v>18</v>
      </c>
      <c r="C20" t="s">
        <v>23</v>
      </c>
      <c r="D20" t="s">
        <v>65</v>
      </c>
      <c r="E20">
        <v>3</v>
      </c>
      <c r="F20">
        <v>71497</v>
      </c>
      <c r="G20">
        <v>214491</v>
      </c>
      <c r="H20" t="s">
        <v>64</v>
      </c>
      <c r="I20">
        <v>17</v>
      </c>
      <c r="J20">
        <v>12</v>
      </c>
      <c r="K20">
        <v>18</v>
      </c>
    </row>
    <row r="21" spans="1:11" x14ac:dyDescent="0.3">
      <c r="A21" s="12">
        <v>45709</v>
      </c>
      <c r="B21" t="s">
        <v>14</v>
      </c>
      <c r="C21" t="s">
        <v>22</v>
      </c>
      <c r="D21" t="s">
        <v>61</v>
      </c>
      <c r="E21">
        <v>12</v>
      </c>
      <c r="F21">
        <v>250049</v>
      </c>
      <c r="G21">
        <v>3000588</v>
      </c>
      <c r="H21" t="s">
        <v>64</v>
      </c>
      <c r="I21">
        <v>19</v>
      </c>
      <c r="J21">
        <v>8</v>
      </c>
      <c r="K21">
        <v>18</v>
      </c>
    </row>
    <row r="22" spans="1:11" x14ac:dyDescent="0.3">
      <c r="A22" s="12">
        <v>45677</v>
      </c>
      <c r="B22" t="s">
        <v>18</v>
      </c>
      <c r="C22" t="s">
        <v>22</v>
      </c>
      <c r="D22" t="s">
        <v>66</v>
      </c>
      <c r="E22">
        <v>10</v>
      </c>
      <c r="F22">
        <v>61875</v>
      </c>
      <c r="G22">
        <v>618750</v>
      </c>
      <c r="H22" t="s">
        <v>67</v>
      </c>
      <c r="I22">
        <v>9</v>
      </c>
      <c r="J22">
        <v>6</v>
      </c>
      <c r="K22">
        <v>16</v>
      </c>
    </row>
    <row r="23" spans="1:11" x14ac:dyDescent="0.3">
      <c r="A23" s="12">
        <v>45675</v>
      </c>
      <c r="B23" t="s">
        <v>14</v>
      </c>
      <c r="C23" t="s">
        <v>24</v>
      </c>
      <c r="D23" t="s">
        <v>68</v>
      </c>
      <c r="E23">
        <v>5</v>
      </c>
      <c r="F23">
        <v>593217</v>
      </c>
      <c r="G23">
        <v>2966085</v>
      </c>
      <c r="H23" t="s">
        <v>69</v>
      </c>
      <c r="I23">
        <v>7</v>
      </c>
      <c r="J23">
        <v>13</v>
      </c>
      <c r="K23">
        <v>12</v>
      </c>
    </row>
    <row r="24" spans="1:11" x14ac:dyDescent="0.3">
      <c r="A24" s="12">
        <v>45676</v>
      </c>
      <c r="B24" t="s">
        <v>14</v>
      </c>
      <c r="C24" t="s">
        <v>24</v>
      </c>
      <c r="D24" t="s">
        <v>70</v>
      </c>
      <c r="E24">
        <v>4</v>
      </c>
      <c r="F24">
        <v>301290</v>
      </c>
      <c r="G24">
        <v>1205160</v>
      </c>
      <c r="H24" t="s">
        <v>71</v>
      </c>
      <c r="I24">
        <v>8</v>
      </c>
      <c r="J24">
        <v>15</v>
      </c>
      <c r="K24">
        <v>15</v>
      </c>
    </row>
    <row r="25" spans="1:11" x14ac:dyDescent="0.3">
      <c r="A25" s="12">
        <v>45715</v>
      </c>
      <c r="B25" t="s">
        <v>17</v>
      </c>
      <c r="C25" t="s">
        <v>21</v>
      </c>
      <c r="D25" t="s">
        <v>51</v>
      </c>
      <c r="E25">
        <v>8</v>
      </c>
      <c r="F25">
        <v>114089</v>
      </c>
      <c r="G25">
        <v>912712</v>
      </c>
      <c r="H25" t="s">
        <v>72</v>
      </c>
      <c r="I25">
        <v>24</v>
      </c>
      <c r="J25">
        <v>2</v>
      </c>
      <c r="K25">
        <v>14</v>
      </c>
    </row>
    <row r="26" spans="1:11" x14ac:dyDescent="0.3">
      <c r="A26" s="12">
        <v>45714</v>
      </c>
      <c r="B26" t="s">
        <v>17</v>
      </c>
      <c r="C26" t="s">
        <v>23</v>
      </c>
      <c r="D26" t="s">
        <v>45</v>
      </c>
      <c r="E26">
        <v>4</v>
      </c>
      <c r="F26">
        <v>161177</v>
      </c>
      <c r="G26">
        <v>644708</v>
      </c>
      <c r="H26" t="s">
        <v>73</v>
      </c>
      <c r="I26">
        <v>23</v>
      </c>
      <c r="J26">
        <v>11</v>
      </c>
      <c r="K26">
        <v>19</v>
      </c>
    </row>
    <row r="27" spans="1:11" x14ac:dyDescent="0.3">
      <c r="A27" s="12">
        <v>45710</v>
      </c>
      <c r="B27" t="s">
        <v>18</v>
      </c>
      <c r="C27" t="s">
        <v>23</v>
      </c>
      <c r="D27" t="s">
        <v>45</v>
      </c>
      <c r="E27">
        <v>12</v>
      </c>
      <c r="F27">
        <v>156887</v>
      </c>
      <c r="G27">
        <v>1882644</v>
      </c>
      <c r="H27" t="s">
        <v>74</v>
      </c>
      <c r="I27">
        <v>20</v>
      </c>
      <c r="J27">
        <v>11</v>
      </c>
      <c r="K27">
        <v>20</v>
      </c>
    </row>
    <row r="28" spans="1:11" x14ac:dyDescent="0.3">
      <c r="A28" s="12">
        <v>45727</v>
      </c>
      <c r="B28" t="s">
        <v>17</v>
      </c>
      <c r="C28" t="s">
        <v>23</v>
      </c>
      <c r="D28" t="s">
        <v>59</v>
      </c>
      <c r="E28">
        <v>10</v>
      </c>
      <c r="F28">
        <v>168020</v>
      </c>
      <c r="G28">
        <v>1680200</v>
      </c>
      <c r="H28" t="s">
        <v>67</v>
      </c>
      <c r="I28">
        <v>27</v>
      </c>
      <c r="J28">
        <v>10</v>
      </c>
      <c r="K28">
        <v>16</v>
      </c>
    </row>
    <row r="29" spans="1:11" x14ac:dyDescent="0.3">
      <c r="A29" s="12">
        <v>45727</v>
      </c>
      <c r="B29" t="s">
        <v>16</v>
      </c>
      <c r="C29" t="s">
        <v>21</v>
      </c>
      <c r="D29" t="s">
        <v>75</v>
      </c>
      <c r="E29">
        <v>11</v>
      </c>
      <c r="F29">
        <v>72512</v>
      </c>
      <c r="G29">
        <v>797632</v>
      </c>
      <c r="H29" t="s">
        <v>73</v>
      </c>
      <c r="I29">
        <v>28</v>
      </c>
      <c r="J29">
        <v>4</v>
      </c>
      <c r="K29">
        <v>19</v>
      </c>
    </row>
    <row r="30" spans="1:11" x14ac:dyDescent="0.3">
      <c r="A30" s="12">
        <v>45729</v>
      </c>
      <c r="B30" t="s">
        <v>16</v>
      </c>
      <c r="C30" t="s">
        <v>23</v>
      </c>
      <c r="D30" t="s">
        <v>65</v>
      </c>
      <c r="E30">
        <v>9</v>
      </c>
      <c r="F30">
        <v>75384</v>
      </c>
      <c r="G30">
        <v>678456</v>
      </c>
      <c r="H30" t="s">
        <v>49</v>
      </c>
      <c r="I30">
        <v>29</v>
      </c>
      <c r="J30">
        <v>12</v>
      </c>
      <c r="K30">
        <v>21</v>
      </c>
    </row>
    <row r="31" spans="1:11" x14ac:dyDescent="0.3">
      <c r="A31" s="12">
        <v>45730</v>
      </c>
      <c r="B31" t="s">
        <v>14</v>
      </c>
      <c r="C31" t="s">
        <v>24</v>
      </c>
      <c r="D31" t="s">
        <v>70</v>
      </c>
      <c r="E31">
        <v>12</v>
      </c>
      <c r="F31">
        <v>839224</v>
      </c>
      <c r="G31">
        <v>10070688</v>
      </c>
      <c r="H31" t="s">
        <v>62</v>
      </c>
      <c r="I31">
        <v>30</v>
      </c>
      <c r="J31">
        <v>15</v>
      </c>
      <c r="K31">
        <v>23</v>
      </c>
    </row>
    <row r="32" spans="1:11" x14ac:dyDescent="0.3">
      <c r="A32" s="12">
        <v>45743</v>
      </c>
      <c r="B32" t="s">
        <v>14</v>
      </c>
      <c r="C32" t="s">
        <v>24</v>
      </c>
      <c r="D32" t="s">
        <v>63</v>
      </c>
      <c r="E32">
        <v>11</v>
      </c>
      <c r="F32">
        <v>595512</v>
      </c>
      <c r="G32">
        <v>6550632</v>
      </c>
      <c r="H32" t="s">
        <v>46</v>
      </c>
      <c r="I32">
        <v>31</v>
      </c>
      <c r="J32">
        <v>14</v>
      </c>
      <c r="K32">
        <v>22</v>
      </c>
    </row>
    <row r="33" spans="1:11" x14ac:dyDescent="0.3">
      <c r="A33" s="12">
        <v>45745</v>
      </c>
      <c r="B33" t="s">
        <v>15</v>
      </c>
      <c r="C33" t="s">
        <v>21</v>
      </c>
      <c r="D33" t="s">
        <v>47</v>
      </c>
      <c r="E33">
        <v>9</v>
      </c>
      <c r="F33">
        <v>118079</v>
      </c>
      <c r="G33">
        <v>1062711</v>
      </c>
      <c r="H33" t="s">
        <v>64</v>
      </c>
      <c r="I33">
        <v>32</v>
      </c>
      <c r="J33">
        <v>1</v>
      </c>
      <c r="K33">
        <v>18</v>
      </c>
    </row>
    <row r="34" spans="1:11" x14ac:dyDescent="0.3">
      <c r="A34" s="12">
        <v>45746</v>
      </c>
      <c r="B34" t="s">
        <v>18</v>
      </c>
      <c r="C34" t="s">
        <v>24</v>
      </c>
      <c r="D34" t="s">
        <v>63</v>
      </c>
      <c r="E34">
        <v>9</v>
      </c>
      <c r="F34">
        <v>728707</v>
      </c>
      <c r="G34">
        <v>6558363</v>
      </c>
      <c r="H34" t="s">
        <v>76</v>
      </c>
      <c r="I34">
        <v>33</v>
      </c>
      <c r="J34">
        <v>14</v>
      </c>
      <c r="K34">
        <v>5</v>
      </c>
    </row>
    <row r="35" spans="1:11" x14ac:dyDescent="0.3">
      <c r="A35" s="12">
        <v>45754</v>
      </c>
      <c r="B35" t="s">
        <v>15</v>
      </c>
      <c r="C35" t="s">
        <v>21</v>
      </c>
      <c r="D35" t="s">
        <v>75</v>
      </c>
      <c r="E35">
        <v>4</v>
      </c>
      <c r="F35">
        <v>107177</v>
      </c>
      <c r="G35">
        <v>428708</v>
      </c>
      <c r="H35" t="s">
        <v>53</v>
      </c>
      <c r="I35">
        <v>34</v>
      </c>
      <c r="J35">
        <v>4</v>
      </c>
      <c r="K35">
        <v>4</v>
      </c>
    </row>
    <row r="36" spans="1:11" x14ac:dyDescent="0.3">
      <c r="A36" s="12">
        <v>45755</v>
      </c>
      <c r="B36" t="s">
        <v>18</v>
      </c>
      <c r="C36" t="s">
        <v>24</v>
      </c>
      <c r="D36" t="s">
        <v>68</v>
      </c>
      <c r="E36">
        <v>3</v>
      </c>
      <c r="F36">
        <v>203162</v>
      </c>
      <c r="G36">
        <v>609486</v>
      </c>
      <c r="H36" t="s">
        <v>46</v>
      </c>
      <c r="I36">
        <v>35</v>
      </c>
      <c r="J36">
        <v>13</v>
      </c>
      <c r="K36">
        <v>22</v>
      </c>
    </row>
    <row r="37" spans="1:11" x14ac:dyDescent="0.3">
      <c r="A37" s="12">
        <v>45758</v>
      </c>
      <c r="B37" t="s">
        <v>18</v>
      </c>
      <c r="C37" t="s">
        <v>24</v>
      </c>
      <c r="D37" t="s">
        <v>63</v>
      </c>
      <c r="E37">
        <v>4</v>
      </c>
      <c r="F37">
        <v>805579</v>
      </c>
      <c r="G37">
        <v>3222316</v>
      </c>
      <c r="H37" t="s">
        <v>69</v>
      </c>
      <c r="I37">
        <v>36</v>
      </c>
      <c r="J37">
        <v>14</v>
      </c>
      <c r="K37">
        <v>12</v>
      </c>
    </row>
    <row r="38" spans="1:11" x14ac:dyDescent="0.3">
      <c r="A38" s="12">
        <v>45759</v>
      </c>
      <c r="B38" t="s">
        <v>16</v>
      </c>
      <c r="C38" t="s">
        <v>22</v>
      </c>
      <c r="D38" t="s">
        <v>57</v>
      </c>
      <c r="E38">
        <v>5</v>
      </c>
      <c r="F38">
        <v>91316</v>
      </c>
      <c r="G38">
        <v>456580</v>
      </c>
      <c r="H38" t="s">
        <v>53</v>
      </c>
      <c r="I38">
        <v>37</v>
      </c>
      <c r="J38">
        <v>5</v>
      </c>
      <c r="K38">
        <v>4</v>
      </c>
    </row>
    <row r="39" spans="1:11" x14ac:dyDescent="0.3">
      <c r="A39" s="12">
        <v>45769</v>
      </c>
      <c r="B39" t="s">
        <v>16</v>
      </c>
      <c r="C39" t="s">
        <v>21</v>
      </c>
      <c r="D39" t="s">
        <v>47</v>
      </c>
      <c r="E39">
        <v>9</v>
      </c>
      <c r="F39">
        <v>118951</v>
      </c>
      <c r="G39">
        <v>1070559</v>
      </c>
      <c r="H39" t="s">
        <v>76</v>
      </c>
      <c r="I39">
        <v>38</v>
      </c>
      <c r="J39">
        <v>1</v>
      </c>
      <c r="K39">
        <v>5</v>
      </c>
    </row>
    <row r="40" spans="1:11" x14ac:dyDescent="0.3">
      <c r="A40" s="12">
        <v>45773</v>
      </c>
      <c r="B40" t="s">
        <v>15</v>
      </c>
      <c r="C40" t="s">
        <v>21</v>
      </c>
      <c r="D40" t="s">
        <v>75</v>
      </c>
      <c r="E40">
        <v>6</v>
      </c>
      <c r="F40">
        <v>106230</v>
      </c>
      <c r="G40">
        <v>637380</v>
      </c>
      <c r="H40" t="s">
        <v>77</v>
      </c>
      <c r="I40">
        <v>39</v>
      </c>
      <c r="J40">
        <v>4</v>
      </c>
      <c r="K40">
        <v>2</v>
      </c>
    </row>
    <row r="41" spans="1:11" x14ac:dyDescent="0.3">
      <c r="A41" s="12">
        <v>45776</v>
      </c>
      <c r="B41" t="s">
        <v>17</v>
      </c>
      <c r="C41" t="s">
        <v>24</v>
      </c>
      <c r="D41" t="s">
        <v>70</v>
      </c>
      <c r="E41">
        <v>3</v>
      </c>
      <c r="F41">
        <v>776771</v>
      </c>
      <c r="G41">
        <v>2330313</v>
      </c>
      <c r="H41" t="s">
        <v>76</v>
      </c>
      <c r="I41">
        <v>40</v>
      </c>
      <c r="J41">
        <v>15</v>
      </c>
      <c r="K41">
        <v>5</v>
      </c>
    </row>
    <row r="42" spans="1:11" x14ac:dyDescent="0.3">
      <c r="A42" s="12">
        <v>45776</v>
      </c>
      <c r="B42" t="s">
        <v>14</v>
      </c>
      <c r="C42" t="s">
        <v>21</v>
      </c>
      <c r="D42" t="s">
        <v>51</v>
      </c>
      <c r="E42">
        <v>11</v>
      </c>
      <c r="F42">
        <v>63005</v>
      </c>
      <c r="G42">
        <v>693055</v>
      </c>
      <c r="H42" t="s">
        <v>56</v>
      </c>
      <c r="I42">
        <v>41</v>
      </c>
      <c r="J42">
        <v>2</v>
      </c>
      <c r="K42">
        <v>24</v>
      </c>
    </row>
    <row r="43" spans="1:11" x14ac:dyDescent="0.3">
      <c r="A43" s="12">
        <v>45788</v>
      </c>
      <c r="B43" t="s">
        <v>15</v>
      </c>
      <c r="C43" t="s">
        <v>21</v>
      </c>
      <c r="D43" t="s">
        <v>48</v>
      </c>
      <c r="E43">
        <v>7</v>
      </c>
      <c r="F43">
        <v>35937</v>
      </c>
      <c r="G43">
        <v>251559</v>
      </c>
      <c r="H43" t="s">
        <v>78</v>
      </c>
      <c r="I43">
        <v>42</v>
      </c>
      <c r="J43">
        <v>3</v>
      </c>
      <c r="K43">
        <v>13</v>
      </c>
    </row>
    <row r="44" spans="1:11" x14ac:dyDescent="0.3">
      <c r="A44" s="12">
        <v>45794</v>
      </c>
      <c r="B44" t="s">
        <v>18</v>
      </c>
      <c r="C44" t="s">
        <v>22</v>
      </c>
      <c r="D44" t="s">
        <v>55</v>
      </c>
      <c r="E44">
        <v>12</v>
      </c>
      <c r="F44">
        <v>78661</v>
      </c>
      <c r="G44">
        <v>943932</v>
      </c>
      <c r="H44" t="s">
        <v>79</v>
      </c>
      <c r="I44">
        <v>43</v>
      </c>
      <c r="J44">
        <v>7</v>
      </c>
      <c r="K44">
        <v>3</v>
      </c>
    </row>
    <row r="45" spans="1:11" x14ac:dyDescent="0.3">
      <c r="A45" s="12">
        <v>45795</v>
      </c>
      <c r="B45" t="s">
        <v>18</v>
      </c>
      <c r="C45" t="s">
        <v>21</v>
      </c>
      <c r="D45" t="s">
        <v>48</v>
      </c>
      <c r="E45">
        <v>5</v>
      </c>
      <c r="F45">
        <v>50926</v>
      </c>
      <c r="G45">
        <v>254630</v>
      </c>
      <c r="H45" t="s">
        <v>80</v>
      </c>
      <c r="I45">
        <v>44</v>
      </c>
      <c r="J45">
        <v>3</v>
      </c>
      <c r="K45">
        <v>9</v>
      </c>
    </row>
    <row r="46" spans="1:11" x14ac:dyDescent="0.3">
      <c r="A46" s="12">
        <v>45796</v>
      </c>
      <c r="B46" t="s">
        <v>17</v>
      </c>
      <c r="C46" t="s">
        <v>21</v>
      </c>
      <c r="D46" t="s">
        <v>48</v>
      </c>
      <c r="E46">
        <v>3</v>
      </c>
      <c r="F46">
        <v>23995</v>
      </c>
      <c r="G46">
        <v>71985</v>
      </c>
      <c r="H46" t="s">
        <v>72</v>
      </c>
      <c r="I46">
        <v>45</v>
      </c>
      <c r="J46">
        <v>3</v>
      </c>
      <c r="K46">
        <v>14</v>
      </c>
    </row>
    <row r="47" spans="1:11" x14ac:dyDescent="0.3">
      <c r="A47" s="12">
        <v>45799</v>
      </c>
      <c r="B47" t="s">
        <v>18</v>
      </c>
      <c r="C47" t="s">
        <v>24</v>
      </c>
      <c r="D47" t="s">
        <v>70</v>
      </c>
      <c r="E47">
        <v>5</v>
      </c>
      <c r="F47">
        <v>502701</v>
      </c>
      <c r="G47">
        <v>2513505</v>
      </c>
      <c r="H47" t="s">
        <v>74</v>
      </c>
      <c r="I47">
        <v>46</v>
      </c>
      <c r="J47">
        <v>15</v>
      </c>
      <c r="K47">
        <v>20</v>
      </c>
    </row>
    <row r="48" spans="1:11" x14ac:dyDescent="0.3">
      <c r="A48" s="12">
        <v>45809</v>
      </c>
      <c r="B48" t="s">
        <v>14</v>
      </c>
      <c r="C48" t="s">
        <v>21</v>
      </c>
      <c r="D48" t="s">
        <v>51</v>
      </c>
      <c r="E48">
        <v>6</v>
      </c>
      <c r="F48">
        <v>46966</v>
      </c>
      <c r="G48">
        <v>281796</v>
      </c>
      <c r="H48" t="s">
        <v>54</v>
      </c>
      <c r="I48">
        <v>47</v>
      </c>
      <c r="J48">
        <v>2</v>
      </c>
      <c r="K48">
        <v>11</v>
      </c>
    </row>
    <row r="49" spans="1:11" x14ac:dyDescent="0.3">
      <c r="A49" s="12">
        <v>45812</v>
      </c>
      <c r="B49" t="s">
        <v>18</v>
      </c>
      <c r="C49" t="s">
        <v>24</v>
      </c>
      <c r="D49" t="s">
        <v>70</v>
      </c>
      <c r="E49">
        <v>12</v>
      </c>
      <c r="F49">
        <v>516412</v>
      </c>
      <c r="G49">
        <v>6196944</v>
      </c>
      <c r="H49" t="s">
        <v>49</v>
      </c>
      <c r="I49">
        <v>48</v>
      </c>
      <c r="J49">
        <v>15</v>
      </c>
      <c r="K49">
        <v>21</v>
      </c>
    </row>
    <row r="50" spans="1:11" x14ac:dyDescent="0.3">
      <c r="A50" s="12">
        <v>45816</v>
      </c>
      <c r="B50" t="s">
        <v>15</v>
      </c>
      <c r="C50" t="s">
        <v>23</v>
      </c>
      <c r="D50" t="s">
        <v>65</v>
      </c>
      <c r="E50">
        <v>6</v>
      </c>
      <c r="F50">
        <v>168409</v>
      </c>
      <c r="G50">
        <v>1010454</v>
      </c>
      <c r="H50" t="s">
        <v>80</v>
      </c>
      <c r="I50">
        <v>49</v>
      </c>
      <c r="J50">
        <v>12</v>
      </c>
      <c r="K50">
        <v>9</v>
      </c>
    </row>
    <row r="51" spans="1:11" x14ac:dyDescent="0.3">
      <c r="A51" s="12">
        <v>45821</v>
      </c>
      <c r="B51" t="s">
        <v>14</v>
      </c>
      <c r="C51" t="s">
        <v>21</v>
      </c>
      <c r="D51" t="s">
        <v>51</v>
      </c>
      <c r="E51">
        <v>10</v>
      </c>
      <c r="F51">
        <v>61867</v>
      </c>
      <c r="G51">
        <v>618670</v>
      </c>
      <c r="H51" t="s">
        <v>77</v>
      </c>
      <c r="I51">
        <v>50</v>
      </c>
      <c r="J51">
        <v>2</v>
      </c>
      <c r="K51">
        <v>2</v>
      </c>
    </row>
    <row r="52" spans="1:11" x14ac:dyDescent="0.3">
      <c r="A52" s="12">
        <v>45825</v>
      </c>
      <c r="B52" t="s">
        <v>15</v>
      </c>
      <c r="C52" t="s">
        <v>21</v>
      </c>
      <c r="D52" t="s">
        <v>51</v>
      </c>
      <c r="E52">
        <v>12</v>
      </c>
      <c r="F52">
        <v>32387</v>
      </c>
      <c r="G52">
        <v>388644</v>
      </c>
      <c r="H52" t="s">
        <v>58</v>
      </c>
      <c r="I52">
        <v>51</v>
      </c>
      <c r="J52">
        <v>2</v>
      </c>
      <c r="K52">
        <v>7</v>
      </c>
    </row>
    <row r="53" spans="1:11" x14ac:dyDescent="0.3">
      <c r="A53" s="12">
        <v>45825</v>
      </c>
      <c r="B53" t="s">
        <v>16</v>
      </c>
      <c r="C53" t="s">
        <v>21</v>
      </c>
      <c r="D53" t="s">
        <v>48</v>
      </c>
      <c r="E53">
        <v>4</v>
      </c>
      <c r="F53">
        <v>53875</v>
      </c>
      <c r="G53">
        <v>215500</v>
      </c>
      <c r="H53" t="s">
        <v>79</v>
      </c>
      <c r="I53">
        <v>52</v>
      </c>
      <c r="J53">
        <v>3</v>
      </c>
      <c r="K53">
        <v>3</v>
      </c>
    </row>
    <row r="54" spans="1:11" x14ac:dyDescent="0.3">
      <c r="A54" s="12">
        <v>45842</v>
      </c>
      <c r="B54" t="s">
        <v>18</v>
      </c>
      <c r="C54" t="s">
        <v>23</v>
      </c>
      <c r="D54" t="s">
        <v>81</v>
      </c>
      <c r="E54">
        <v>1</v>
      </c>
      <c r="F54">
        <v>90978</v>
      </c>
      <c r="G54">
        <v>90978</v>
      </c>
      <c r="H54" t="s">
        <v>67</v>
      </c>
      <c r="I54">
        <v>53</v>
      </c>
      <c r="J54">
        <v>9</v>
      </c>
      <c r="K54">
        <v>16</v>
      </c>
    </row>
    <row r="55" spans="1:11" x14ac:dyDescent="0.3">
      <c r="A55" s="12">
        <v>45843</v>
      </c>
      <c r="B55" t="s">
        <v>17</v>
      </c>
      <c r="C55" t="s">
        <v>21</v>
      </c>
      <c r="D55" t="s">
        <v>48</v>
      </c>
      <c r="E55">
        <v>12</v>
      </c>
      <c r="F55">
        <v>93703</v>
      </c>
      <c r="G55">
        <v>1124436</v>
      </c>
      <c r="H55" t="s">
        <v>67</v>
      </c>
      <c r="I55">
        <v>54</v>
      </c>
      <c r="J55">
        <v>3</v>
      </c>
      <c r="K55">
        <v>16</v>
      </c>
    </row>
    <row r="56" spans="1:11" x14ac:dyDescent="0.3">
      <c r="A56" s="12">
        <v>45848</v>
      </c>
      <c r="B56" t="s">
        <v>16</v>
      </c>
      <c r="C56" t="s">
        <v>22</v>
      </c>
      <c r="D56" t="s">
        <v>61</v>
      </c>
      <c r="E56">
        <v>6</v>
      </c>
      <c r="F56">
        <v>196096</v>
      </c>
      <c r="G56">
        <v>1176576</v>
      </c>
      <c r="H56" t="s">
        <v>52</v>
      </c>
      <c r="I56">
        <v>55</v>
      </c>
      <c r="J56">
        <v>8</v>
      </c>
      <c r="K56">
        <v>25</v>
      </c>
    </row>
    <row r="57" spans="1:11" x14ac:dyDescent="0.3">
      <c r="A57" s="12">
        <v>45850</v>
      </c>
      <c r="B57" t="s">
        <v>16</v>
      </c>
      <c r="C57" t="s">
        <v>22</v>
      </c>
      <c r="D57" t="s">
        <v>55</v>
      </c>
      <c r="E57">
        <v>1</v>
      </c>
      <c r="F57">
        <v>155992</v>
      </c>
      <c r="G57">
        <v>155992</v>
      </c>
      <c r="H57" t="s">
        <v>50</v>
      </c>
      <c r="I57">
        <v>56</v>
      </c>
      <c r="J57">
        <v>7</v>
      </c>
      <c r="K57">
        <v>10</v>
      </c>
    </row>
    <row r="58" spans="1:11" x14ac:dyDescent="0.3">
      <c r="A58" s="12">
        <v>45853</v>
      </c>
      <c r="B58" t="s">
        <v>15</v>
      </c>
      <c r="C58" t="s">
        <v>22</v>
      </c>
      <c r="D58" t="s">
        <v>61</v>
      </c>
      <c r="E58">
        <v>8</v>
      </c>
      <c r="F58">
        <v>252148</v>
      </c>
      <c r="G58">
        <v>2017184</v>
      </c>
      <c r="H58" t="s">
        <v>53</v>
      </c>
      <c r="I58">
        <v>57</v>
      </c>
      <c r="J58">
        <v>8</v>
      </c>
      <c r="K58">
        <v>4</v>
      </c>
    </row>
    <row r="59" spans="1:11" x14ac:dyDescent="0.3">
      <c r="A59" s="12">
        <v>45863</v>
      </c>
      <c r="B59" t="s">
        <v>15</v>
      </c>
      <c r="C59" t="s">
        <v>21</v>
      </c>
      <c r="D59" t="s">
        <v>51</v>
      </c>
      <c r="E59">
        <v>4</v>
      </c>
      <c r="F59">
        <v>81369</v>
      </c>
      <c r="G59">
        <v>325476</v>
      </c>
      <c r="H59" t="s">
        <v>49</v>
      </c>
      <c r="I59">
        <v>58</v>
      </c>
      <c r="J59">
        <v>2</v>
      </c>
      <c r="K59">
        <v>21</v>
      </c>
    </row>
    <row r="60" spans="1:11" x14ac:dyDescent="0.3">
      <c r="A60" s="12">
        <v>45875</v>
      </c>
      <c r="B60" t="s">
        <v>15</v>
      </c>
      <c r="C60" t="s">
        <v>23</v>
      </c>
      <c r="D60" t="s">
        <v>59</v>
      </c>
      <c r="E60">
        <v>9</v>
      </c>
      <c r="F60">
        <v>92899</v>
      </c>
      <c r="G60">
        <v>836091</v>
      </c>
      <c r="H60" t="s">
        <v>56</v>
      </c>
      <c r="I60">
        <v>59</v>
      </c>
      <c r="J60">
        <v>10</v>
      </c>
      <c r="K60">
        <v>24</v>
      </c>
    </row>
    <row r="61" spans="1:11" x14ac:dyDescent="0.3">
      <c r="A61" s="12">
        <v>45885</v>
      </c>
      <c r="B61" t="s">
        <v>18</v>
      </c>
      <c r="C61" t="s">
        <v>22</v>
      </c>
      <c r="D61" t="s">
        <v>66</v>
      </c>
      <c r="E61">
        <v>10</v>
      </c>
      <c r="F61">
        <v>164606</v>
      </c>
      <c r="G61">
        <v>1646060</v>
      </c>
      <c r="H61" t="s">
        <v>50</v>
      </c>
      <c r="I61">
        <v>60</v>
      </c>
      <c r="J61">
        <v>6</v>
      </c>
      <c r="K61">
        <v>10</v>
      </c>
    </row>
    <row r="62" spans="1:11" x14ac:dyDescent="0.3">
      <c r="A62" s="12">
        <v>45886</v>
      </c>
      <c r="B62" t="s">
        <v>17</v>
      </c>
      <c r="C62" t="s">
        <v>24</v>
      </c>
      <c r="D62" t="s">
        <v>70</v>
      </c>
      <c r="E62">
        <v>5</v>
      </c>
      <c r="F62">
        <v>602664</v>
      </c>
      <c r="G62">
        <v>3013320</v>
      </c>
      <c r="H62" t="s">
        <v>46</v>
      </c>
      <c r="I62">
        <v>61</v>
      </c>
      <c r="J62">
        <v>15</v>
      </c>
      <c r="K62">
        <v>22</v>
      </c>
    </row>
    <row r="63" spans="1:11" x14ac:dyDescent="0.3">
      <c r="A63" s="12">
        <v>45891</v>
      </c>
      <c r="B63" t="s">
        <v>16</v>
      </c>
      <c r="C63" t="s">
        <v>21</v>
      </c>
      <c r="D63" t="s">
        <v>75</v>
      </c>
      <c r="E63">
        <v>10</v>
      </c>
      <c r="F63">
        <v>66609</v>
      </c>
      <c r="G63">
        <v>666090</v>
      </c>
      <c r="H63" t="s">
        <v>60</v>
      </c>
      <c r="I63">
        <v>62</v>
      </c>
      <c r="J63">
        <v>4</v>
      </c>
      <c r="K63">
        <v>8</v>
      </c>
    </row>
    <row r="64" spans="1:11" x14ac:dyDescent="0.3">
      <c r="A64" s="12">
        <v>45895</v>
      </c>
      <c r="B64" t="s">
        <v>17</v>
      </c>
      <c r="C64" t="s">
        <v>24</v>
      </c>
      <c r="D64" t="s">
        <v>70</v>
      </c>
      <c r="E64">
        <v>9</v>
      </c>
      <c r="F64">
        <v>756167</v>
      </c>
      <c r="G64">
        <v>6805503</v>
      </c>
      <c r="H64" t="s">
        <v>74</v>
      </c>
      <c r="I64">
        <v>63</v>
      </c>
      <c r="J64">
        <v>15</v>
      </c>
      <c r="K64">
        <v>20</v>
      </c>
    </row>
    <row r="65" spans="1:11" x14ac:dyDescent="0.3">
      <c r="A65" s="12">
        <v>45902</v>
      </c>
      <c r="B65" t="s">
        <v>14</v>
      </c>
      <c r="C65" t="s">
        <v>23</v>
      </c>
      <c r="D65" t="s">
        <v>45</v>
      </c>
      <c r="E65">
        <v>2</v>
      </c>
      <c r="F65">
        <v>113832</v>
      </c>
      <c r="G65">
        <v>227664</v>
      </c>
      <c r="H65" t="s">
        <v>82</v>
      </c>
      <c r="I65">
        <v>64</v>
      </c>
      <c r="J65">
        <v>11</v>
      </c>
      <c r="K65">
        <v>6</v>
      </c>
    </row>
    <row r="66" spans="1:11" x14ac:dyDescent="0.3">
      <c r="A66" s="12">
        <v>45906</v>
      </c>
      <c r="B66" t="s">
        <v>15</v>
      </c>
      <c r="C66" t="s">
        <v>23</v>
      </c>
      <c r="D66" t="s">
        <v>45</v>
      </c>
      <c r="E66">
        <v>11</v>
      </c>
      <c r="F66">
        <v>58651</v>
      </c>
      <c r="G66">
        <v>645161</v>
      </c>
      <c r="H66" t="s">
        <v>69</v>
      </c>
      <c r="I66">
        <v>65</v>
      </c>
      <c r="J66">
        <v>11</v>
      </c>
      <c r="K66">
        <v>12</v>
      </c>
    </row>
    <row r="67" spans="1:11" x14ac:dyDescent="0.3">
      <c r="A67" s="12">
        <v>45907</v>
      </c>
      <c r="B67" t="s">
        <v>14</v>
      </c>
      <c r="C67" t="s">
        <v>24</v>
      </c>
      <c r="D67" t="s">
        <v>83</v>
      </c>
      <c r="E67">
        <v>7</v>
      </c>
      <c r="F67">
        <v>807654</v>
      </c>
      <c r="G67">
        <v>5653578</v>
      </c>
      <c r="H67" t="s">
        <v>54</v>
      </c>
      <c r="I67">
        <v>66</v>
      </c>
      <c r="J67">
        <v>16</v>
      </c>
      <c r="K67">
        <v>11</v>
      </c>
    </row>
    <row r="68" spans="1:11" x14ac:dyDescent="0.3">
      <c r="A68" s="12">
        <v>45908</v>
      </c>
      <c r="B68" t="s">
        <v>15</v>
      </c>
      <c r="C68" t="s">
        <v>23</v>
      </c>
      <c r="D68" t="s">
        <v>45</v>
      </c>
      <c r="E68">
        <v>11</v>
      </c>
      <c r="F68">
        <v>142066</v>
      </c>
      <c r="G68">
        <v>1562726</v>
      </c>
      <c r="H68" t="s">
        <v>84</v>
      </c>
      <c r="I68">
        <v>67</v>
      </c>
      <c r="J68">
        <v>11</v>
      </c>
      <c r="K68">
        <v>17</v>
      </c>
    </row>
    <row r="69" spans="1:11" x14ac:dyDescent="0.3">
      <c r="A69" s="12">
        <v>45911</v>
      </c>
      <c r="B69" t="s">
        <v>17</v>
      </c>
      <c r="C69" t="s">
        <v>21</v>
      </c>
      <c r="D69" t="s">
        <v>75</v>
      </c>
      <c r="E69">
        <v>8</v>
      </c>
      <c r="F69">
        <v>74392</v>
      </c>
      <c r="G69">
        <v>595136</v>
      </c>
      <c r="H69" t="s">
        <v>73</v>
      </c>
      <c r="I69">
        <v>68</v>
      </c>
      <c r="J69">
        <v>4</v>
      </c>
      <c r="K69">
        <v>19</v>
      </c>
    </row>
    <row r="70" spans="1:11" x14ac:dyDescent="0.3">
      <c r="A70" s="12">
        <v>45912</v>
      </c>
      <c r="B70" t="s">
        <v>14</v>
      </c>
      <c r="C70" t="s">
        <v>21</v>
      </c>
      <c r="D70" t="s">
        <v>48</v>
      </c>
      <c r="E70">
        <v>4</v>
      </c>
      <c r="F70">
        <v>105610</v>
      </c>
      <c r="G70">
        <v>422440</v>
      </c>
      <c r="H70" t="s">
        <v>49</v>
      </c>
      <c r="I70">
        <v>69</v>
      </c>
      <c r="J70">
        <v>3</v>
      </c>
      <c r="K70">
        <v>21</v>
      </c>
    </row>
    <row r="71" spans="1:11" x14ac:dyDescent="0.3">
      <c r="A71" s="12">
        <v>45916</v>
      </c>
      <c r="B71" t="s">
        <v>15</v>
      </c>
      <c r="C71" t="s">
        <v>24</v>
      </c>
      <c r="D71" t="s">
        <v>63</v>
      </c>
      <c r="E71">
        <v>6</v>
      </c>
      <c r="F71">
        <v>437718</v>
      </c>
      <c r="G71">
        <v>2626308</v>
      </c>
      <c r="H71" t="s">
        <v>56</v>
      </c>
      <c r="I71">
        <v>70</v>
      </c>
      <c r="J71">
        <v>14</v>
      </c>
      <c r="K71">
        <v>24</v>
      </c>
    </row>
    <row r="72" spans="1:11" x14ac:dyDescent="0.3">
      <c r="A72" s="12">
        <v>45919</v>
      </c>
      <c r="B72" t="s">
        <v>16</v>
      </c>
      <c r="C72" t="s">
        <v>23</v>
      </c>
      <c r="D72" t="s">
        <v>59</v>
      </c>
      <c r="E72">
        <v>6</v>
      </c>
      <c r="F72">
        <v>168600</v>
      </c>
      <c r="G72">
        <v>1011600</v>
      </c>
      <c r="H72" t="s">
        <v>46</v>
      </c>
      <c r="I72">
        <v>71</v>
      </c>
      <c r="J72">
        <v>10</v>
      </c>
      <c r="K72">
        <v>22</v>
      </c>
    </row>
    <row r="73" spans="1:11" x14ac:dyDescent="0.3">
      <c r="A73" s="12">
        <v>45921</v>
      </c>
      <c r="B73" t="s">
        <v>17</v>
      </c>
      <c r="C73" t="s">
        <v>21</v>
      </c>
      <c r="D73" t="s">
        <v>75</v>
      </c>
      <c r="E73">
        <v>11</v>
      </c>
      <c r="F73">
        <v>31574</v>
      </c>
      <c r="G73">
        <v>347314</v>
      </c>
      <c r="H73" t="s">
        <v>56</v>
      </c>
      <c r="I73">
        <v>72</v>
      </c>
      <c r="J73">
        <v>4</v>
      </c>
      <c r="K73">
        <v>24</v>
      </c>
    </row>
    <row r="74" spans="1:11" x14ac:dyDescent="0.3">
      <c r="A74" s="12">
        <v>45924</v>
      </c>
      <c r="B74" t="s">
        <v>14</v>
      </c>
      <c r="C74" t="s">
        <v>23</v>
      </c>
      <c r="D74" t="s">
        <v>81</v>
      </c>
      <c r="E74">
        <v>1</v>
      </c>
      <c r="F74">
        <v>52349</v>
      </c>
      <c r="G74">
        <v>52349</v>
      </c>
      <c r="H74" t="s">
        <v>84</v>
      </c>
      <c r="I74">
        <v>73</v>
      </c>
      <c r="J74">
        <v>9</v>
      </c>
      <c r="K74">
        <v>17</v>
      </c>
    </row>
    <row r="75" spans="1:11" x14ac:dyDescent="0.3">
      <c r="A75" s="12">
        <v>45924</v>
      </c>
      <c r="B75" t="s">
        <v>17</v>
      </c>
      <c r="C75" t="s">
        <v>22</v>
      </c>
      <c r="D75" t="s">
        <v>66</v>
      </c>
      <c r="E75">
        <v>6</v>
      </c>
      <c r="F75">
        <v>182819</v>
      </c>
      <c r="G75">
        <v>1096914</v>
      </c>
      <c r="H75" t="s">
        <v>49</v>
      </c>
      <c r="I75">
        <v>74</v>
      </c>
      <c r="J75">
        <v>6</v>
      </c>
      <c r="K75">
        <v>21</v>
      </c>
    </row>
    <row r="76" spans="1:11" x14ac:dyDescent="0.3">
      <c r="A76" s="12">
        <v>45928</v>
      </c>
      <c r="B76" t="s">
        <v>17</v>
      </c>
      <c r="C76" t="s">
        <v>21</v>
      </c>
      <c r="D76" t="s">
        <v>47</v>
      </c>
      <c r="E76">
        <v>11</v>
      </c>
      <c r="F76">
        <v>62723</v>
      </c>
      <c r="G76">
        <v>689953</v>
      </c>
      <c r="H76" t="s">
        <v>79</v>
      </c>
      <c r="I76">
        <v>75</v>
      </c>
      <c r="J76">
        <v>1</v>
      </c>
      <c r="K76">
        <v>3</v>
      </c>
    </row>
    <row r="77" spans="1:11" x14ac:dyDescent="0.3">
      <c r="A77" s="12">
        <v>45931</v>
      </c>
      <c r="B77" t="s">
        <v>18</v>
      </c>
      <c r="C77" t="s">
        <v>24</v>
      </c>
      <c r="D77" t="s">
        <v>63</v>
      </c>
      <c r="E77">
        <v>5</v>
      </c>
      <c r="F77">
        <v>704230</v>
      </c>
      <c r="G77">
        <v>3521150</v>
      </c>
      <c r="H77" t="s">
        <v>84</v>
      </c>
      <c r="I77">
        <v>76</v>
      </c>
      <c r="J77">
        <v>14</v>
      </c>
      <c r="K77">
        <v>17</v>
      </c>
    </row>
    <row r="78" spans="1:11" x14ac:dyDescent="0.3">
      <c r="A78" s="12">
        <v>45954</v>
      </c>
      <c r="B78" t="s">
        <v>14</v>
      </c>
      <c r="C78" t="s">
        <v>24</v>
      </c>
      <c r="D78" t="s">
        <v>63</v>
      </c>
      <c r="E78">
        <v>1</v>
      </c>
      <c r="F78">
        <v>827244</v>
      </c>
      <c r="G78">
        <v>827244</v>
      </c>
      <c r="H78" t="s">
        <v>82</v>
      </c>
      <c r="I78">
        <v>77</v>
      </c>
      <c r="J78">
        <v>14</v>
      </c>
      <c r="K78">
        <v>6</v>
      </c>
    </row>
    <row r="79" spans="1:11" x14ac:dyDescent="0.3">
      <c r="A79" s="12">
        <v>45959</v>
      </c>
      <c r="B79" t="s">
        <v>14</v>
      </c>
      <c r="C79" t="s">
        <v>24</v>
      </c>
      <c r="D79" t="s">
        <v>83</v>
      </c>
      <c r="E79">
        <v>7</v>
      </c>
      <c r="F79">
        <v>618264</v>
      </c>
      <c r="G79">
        <v>4327848</v>
      </c>
      <c r="H79" t="s">
        <v>79</v>
      </c>
      <c r="I79">
        <v>78</v>
      </c>
      <c r="J79">
        <v>16</v>
      </c>
      <c r="K79">
        <v>3</v>
      </c>
    </row>
    <row r="80" spans="1:11" x14ac:dyDescent="0.3">
      <c r="A80" s="12">
        <v>45962</v>
      </c>
      <c r="B80" t="s">
        <v>15</v>
      </c>
      <c r="C80" t="s">
        <v>24</v>
      </c>
      <c r="D80" t="s">
        <v>70</v>
      </c>
      <c r="E80">
        <v>10</v>
      </c>
      <c r="F80">
        <v>327834</v>
      </c>
      <c r="G80">
        <v>3278340</v>
      </c>
      <c r="H80" t="s">
        <v>78</v>
      </c>
      <c r="I80">
        <v>79</v>
      </c>
      <c r="J80">
        <v>15</v>
      </c>
      <c r="K80">
        <v>13</v>
      </c>
    </row>
    <row r="81" spans="1:11" x14ac:dyDescent="0.3">
      <c r="A81" s="12">
        <v>45963</v>
      </c>
      <c r="B81" t="s">
        <v>16</v>
      </c>
      <c r="C81" t="s">
        <v>22</v>
      </c>
      <c r="D81" t="s">
        <v>57</v>
      </c>
      <c r="E81">
        <v>3</v>
      </c>
      <c r="F81">
        <v>217467</v>
      </c>
      <c r="G81">
        <v>652401</v>
      </c>
      <c r="H81" t="s">
        <v>72</v>
      </c>
      <c r="I81">
        <v>80</v>
      </c>
      <c r="J81">
        <v>5</v>
      </c>
      <c r="K81">
        <v>14</v>
      </c>
    </row>
    <row r="82" spans="1:11" x14ac:dyDescent="0.3">
      <c r="A82" s="12">
        <v>45965</v>
      </c>
      <c r="B82" t="s">
        <v>14</v>
      </c>
      <c r="C82" t="s">
        <v>24</v>
      </c>
      <c r="D82" t="s">
        <v>68</v>
      </c>
      <c r="E82">
        <v>6</v>
      </c>
      <c r="F82">
        <v>706771</v>
      </c>
      <c r="G82">
        <v>4240626</v>
      </c>
      <c r="H82" t="s">
        <v>62</v>
      </c>
      <c r="I82">
        <v>81</v>
      </c>
      <c r="J82">
        <v>13</v>
      </c>
      <c r="K82">
        <v>23</v>
      </c>
    </row>
    <row r="83" spans="1:11" x14ac:dyDescent="0.3">
      <c r="A83" s="12">
        <v>45967</v>
      </c>
      <c r="B83" t="s">
        <v>17</v>
      </c>
      <c r="C83" t="s">
        <v>23</v>
      </c>
      <c r="D83" t="s">
        <v>65</v>
      </c>
      <c r="E83">
        <v>12</v>
      </c>
      <c r="F83">
        <v>112044</v>
      </c>
      <c r="G83">
        <v>1344528</v>
      </c>
      <c r="H83" t="s">
        <v>82</v>
      </c>
      <c r="I83">
        <v>82</v>
      </c>
      <c r="J83">
        <v>12</v>
      </c>
      <c r="K83">
        <v>6</v>
      </c>
    </row>
    <row r="84" spans="1:11" x14ac:dyDescent="0.3">
      <c r="A84" s="12">
        <v>45967</v>
      </c>
      <c r="B84" t="s">
        <v>15</v>
      </c>
      <c r="C84" t="s">
        <v>23</v>
      </c>
      <c r="D84" t="s">
        <v>59</v>
      </c>
      <c r="E84">
        <v>9</v>
      </c>
      <c r="F84">
        <v>157988</v>
      </c>
      <c r="G84">
        <v>1421892</v>
      </c>
      <c r="H84" t="s">
        <v>79</v>
      </c>
      <c r="I84">
        <v>83</v>
      </c>
      <c r="J84">
        <v>10</v>
      </c>
      <c r="K84">
        <v>3</v>
      </c>
    </row>
    <row r="85" spans="1:11" x14ac:dyDescent="0.3">
      <c r="A85" s="12">
        <v>45971</v>
      </c>
      <c r="B85" t="s">
        <v>17</v>
      </c>
      <c r="C85" t="s">
        <v>24</v>
      </c>
      <c r="D85" t="s">
        <v>70</v>
      </c>
      <c r="E85">
        <v>4</v>
      </c>
      <c r="F85">
        <v>484606</v>
      </c>
      <c r="G85">
        <v>1938424</v>
      </c>
      <c r="H85" t="s">
        <v>78</v>
      </c>
      <c r="I85">
        <v>84</v>
      </c>
      <c r="J85">
        <v>15</v>
      </c>
      <c r="K85">
        <v>13</v>
      </c>
    </row>
    <row r="86" spans="1:11" x14ac:dyDescent="0.3">
      <c r="A86" s="12">
        <v>45976</v>
      </c>
      <c r="B86" t="s">
        <v>14</v>
      </c>
      <c r="C86" t="s">
        <v>23</v>
      </c>
      <c r="D86" t="s">
        <v>45</v>
      </c>
      <c r="E86">
        <v>7</v>
      </c>
      <c r="F86">
        <v>213223</v>
      </c>
      <c r="G86">
        <v>1492561</v>
      </c>
      <c r="H86" t="s">
        <v>76</v>
      </c>
      <c r="I86">
        <v>85</v>
      </c>
      <c r="J86">
        <v>11</v>
      </c>
      <c r="K86">
        <v>5</v>
      </c>
    </row>
    <row r="87" spans="1:11" x14ac:dyDescent="0.3">
      <c r="A87" s="12">
        <v>45977</v>
      </c>
      <c r="B87" t="s">
        <v>18</v>
      </c>
      <c r="C87" t="s">
        <v>23</v>
      </c>
      <c r="D87" t="s">
        <v>45</v>
      </c>
      <c r="E87">
        <v>11</v>
      </c>
      <c r="F87">
        <v>159664</v>
      </c>
      <c r="G87">
        <v>1756304</v>
      </c>
      <c r="H87" t="s">
        <v>58</v>
      </c>
      <c r="I87">
        <v>86</v>
      </c>
      <c r="J87">
        <v>11</v>
      </c>
      <c r="K87">
        <v>7</v>
      </c>
    </row>
    <row r="88" spans="1:11" x14ac:dyDescent="0.3">
      <c r="A88" s="12">
        <v>45992</v>
      </c>
      <c r="B88" t="s">
        <v>15</v>
      </c>
      <c r="C88" t="s">
        <v>24</v>
      </c>
      <c r="D88" t="s">
        <v>63</v>
      </c>
      <c r="E88">
        <v>12</v>
      </c>
      <c r="F88">
        <v>509766</v>
      </c>
      <c r="G88">
        <v>6117192</v>
      </c>
      <c r="H88" t="s">
        <v>79</v>
      </c>
      <c r="I88">
        <v>87</v>
      </c>
      <c r="J88">
        <v>14</v>
      </c>
      <c r="K88">
        <v>3</v>
      </c>
    </row>
    <row r="89" spans="1:11" x14ac:dyDescent="0.3">
      <c r="A89" s="12">
        <v>45993</v>
      </c>
      <c r="B89" t="s">
        <v>14</v>
      </c>
      <c r="C89" t="s">
        <v>24</v>
      </c>
      <c r="D89" t="s">
        <v>68</v>
      </c>
      <c r="E89">
        <v>2</v>
      </c>
      <c r="F89">
        <v>586785</v>
      </c>
      <c r="G89">
        <v>1173570</v>
      </c>
      <c r="H89" t="s">
        <v>82</v>
      </c>
      <c r="I89">
        <v>88</v>
      </c>
      <c r="J89">
        <v>13</v>
      </c>
      <c r="K89">
        <v>6</v>
      </c>
    </row>
    <row r="90" spans="1:11" x14ac:dyDescent="0.3">
      <c r="A90" s="12">
        <v>45995</v>
      </c>
      <c r="B90" t="s">
        <v>17</v>
      </c>
      <c r="C90" t="s">
        <v>22</v>
      </c>
      <c r="D90" t="s">
        <v>57</v>
      </c>
      <c r="E90">
        <v>3</v>
      </c>
      <c r="F90">
        <v>134336</v>
      </c>
      <c r="G90">
        <v>403008</v>
      </c>
      <c r="H90" t="s">
        <v>73</v>
      </c>
      <c r="I90">
        <v>89</v>
      </c>
      <c r="J90">
        <v>5</v>
      </c>
      <c r="K90">
        <v>19</v>
      </c>
    </row>
    <row r="91" spans="1:11" x14ac:dyDescent="0.3">
      <c r="A91" s="12">
        <v>45997</v>
      </c>
      <c r="B91" t="s">
        <v>14</v>
      </c>
      <c r="C91" t="s">
        <v>23</v>
      </c>
      <c r="D91" t="s">
        <v>65</v>
      </c>
      <c r="E91">
        <v>8</v>
      </c>
      <c r="F91">
        <v>129372</v>
      </c>
      <c r="G91">
        <v>1034976</v>
      </c>
      <c r="H91" t="s">
        <v>80</v>
      </c>
      <c r="I91">
        <v>90</v>
      </c>
      <c r="J91">
        <v>12</v>
      </c>
      <c r="K91">
        <v>9</v>
      </c>
    </row>
    <row r="92" spans="1:11" x14ac:dyDescent="0.3">
      <c r="A92" s="12">
        <v>46000</v>
      </c>
      <c r="B92" t="s">
        <v>17</v>
      </c>
      <c r="C92" t="s">
        <v>23</v>
      </c>
      <c r="D92" t="s">
        <v>81</v>
      </c>
      <c r="E92">
        <v>2</v>
      </c>
      <c r="F92">
        <v>151291</v>
      </c>
      <c r="G92">
        <v>302582</v>
      </c>
      <c r="H92" t="s">
        <v>50</v>
      </c>
      <c r="I92">
        <v>91</v>
      </c>
      <c r="J92">
        <v>9</v>
      </c>
      <c r="K92">
        <v>10</v>
      </c>
    </row>
    <row r="93" spans="1:11" x14ac:dyDescent="0.3">
      <c r="A93" s="12">
        <v>46008</v>
      </c>
      <c r="B93" t="s">
        <v>18</v>
      </c>
      <c r="C93" t="s">
        <v>23</v>
      </c>
      <c r="D93" t="s">
        <v>81</v>
      </c>
      <c r="E93">
        <v>8</v>
      </c>
      <c r="F93">
        <v>105448</v>
      </c>
      <c r="G93">
        <v>843584</v>
      </c>
      <c r="H93" t="s">
        <v>80</v>
      </c>
      <c r="I93">
        <v>92</v>
      </c>
      <c r="J93">
        <v>9</v>
      </c>
      <c r="K93">
        <v>9</v>
      </c>
    </row>
    <row r="94" spans="1:11" x14ac:dyDescent="0.3">
      <c r="A94" s="12">
        <v>46009</v>
      </c>
      <c r="B94" t="s">
        <v>18</v>
      </c>
      <c r="C94" t="s">
        <v>24</v>
      </c>
      <c r="D94" t="s">
        <v>70</v>
      </c>
      <c r="E94">
        <v>7</v>
      </c>
      <c r="F94">
        <v>637782</v>
      </c>
      <c r="G94">
        <v>4464474</v>
      </c>
      <c r="H94" t="s">
        <v>56</v>
      </c>
      <c r="I94">
        <v>93</v>
      </c>
      <c r="J94">
        <v>15</v>
      </c>
      <c r="K94">
        <v>24</v>
      </c>
    </row>
    <row r="95" spans="1:11" x14ac:dyDescent="0.3">
      <c r="A95" s="12">
        <v>46010</v>
      </c>
      <c r="B95" t="s">
        <v>18</v>
      </c>
      <c r="C95" t="s">
        <v>22</v>
      </c>
      <c r="D95" t="s">
        <v>57</v>
      </c>
      <c r="E95">
        <v>1</v>
      </c>
      <c r="F95">
        <v>229676</v>
      </c>
      <c r="G95">
        <v>229676</v>
      </c>
      <c r="H95" t="s">
        <v>84</v>
      </c>
      <c r="I95">
        <v>94</v>
      </c>
      <c r="J95">
        <v>5</v>
      </c>
      <c r="K95">
        <v>17</v>
      </c>
    </row>
    <row r="96" spans="1:11" x14ac:dyDescent="0.3">
      <c r="A96" s="12">
        <v>46018</v>
      </c>
      <c r="B96" t="s">
        <v>15</v>
      </c>
      <c r="C96" t="s">
        <v>22</v>
      </c>
      <c r="D96" t="s">
        <v>55</v>
      </c>
      <c r="E96">
        <v>7</v>
      </c>
      <c r="F96">
        <v>78116</v>
      </c>
      <c r="G96">
        <v>546812</v>
      </c>
      <c r="H96" t="s">
        <v>77</v>
      </c>
      <c r="I96">
        <v>95</v>
      </c>
      <c r="J96">
        <v>7</v>
      </c>
      <c r="K96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70A3C6D3-9F22-497A-9405-66DEB5A021B6}">
  <ds:schemaRefs/>
</ds:datastoreItem>
</file>

<file path=customXml/itemProps2.xml><?xml version="1.0" encoding="utf-8"?>
<ds:datastoreItem xmlns:ds="http://schemas.openxmlformats.org/officeDocument/2006/customXml" ds:itemID="{0EFC17CE-BD15-4946-8F47-70CE6D198DBD}">
  <ds:schemaRefs/>
</ds:datastoreItem>
</file>

<file path=customXml/itemProps3.xml><?xml version="1.0" encoding="utf-8"?>
<ds:datastoreItem xmlns:ds="http://schemas.openxmlformats.org/officeDocument/2006/customXml" ds:itemID="{2375C8F6-A44A-4C16-910C-CF4A5D504374}">
  <ds:schemaRefs/>
</ds:datastoreItem>
</file>

<file path=customXml/itemProps4.xml><?xml version="1.0" encoding="utf-8"?>
<ds:datastoreItem xmlns:ds="http://schemas.openxmlformats.org/officeDocument/2006/customXml" ds:itemID="{FE6E1A12-C76C-49F5-96E1-7D1A3501094E}">
  <ds:schemaRefs/>
</ds:datastoreItem>
</file>

<file path=customXml/itemProps5.xml><?xml version="1.0" encoding="utf-8"?>
<ds:datastoreItem xmlns:ds="http://schemas.openxmlformats.org/officeDocument/2006/customXml" ds:itemID="{541CE989-279F-40F7-A295-5504F1EEBE20}">
  <ds:schemaRefs/>
</ds:datastoreItem>
</file>

<file path=customXml/itemProps6.xml><?xml version="1.0" encoding="utf-8"?>
<ds:datastoreItem xmlns:ds="http://schemas.openxmlformats.org/officeDocument/2006/customXml" ds:itemID="{2FB21020-4AB9-4586-99AC-2251C78814DB}">
  <ds:schemaRefs/>
</ds:datastoreItem>
</file>

<file path=customXml/itemProps7.xml><?xml version="1.0" encoding="utf-8"?>
<ds:datastoreItem xmlns:ds="http://schemas.openxmlformats.org/officeDocument/2006/customXml" ds:itemID="{9B9436E7-B31F-4165-8E35-3A3ADA636E81}">
  <ds:schemaRefs/>
</ds:datastoreItem>
</file>

<file path=customXml/itemProps8.xml><?xml version="1.0" encoding="utf-8"?>
<ds:datastoreItem xmlns:ds="http://schemas.openxmlformats.org/officeDocument/2006/customXml" ds:itemID="{A526A1B0-7954-4CFF-BE80-57C469A37593}">
  <ds:schemaRefs/>
</ds:datastoreItem>
</file>

<file path=customXml/itemProps9.xml><?xml version="1.0" encoding="utf-8"?>
<ds:datastoreItem xmlns:ds="http://schemas.openxmlformats.org/officeDocument/2006/customXml" ds:itemID="{6CAD2AAE-3B11-43B8-B65F-E13E23425049}">
  <ds:schemaRefs/>
</ds:datastoreItem>
</file>

<file path=customXml/itemProps10.xml><?xml version="1.0" encoding="utf-8"?>
<ds:datastoreItem xmlns:ds="http://schemas.openxmlformats.org/officeDocument/2006/customXml" ds:itemID="{4CC865D4-4653-4BF2-A53F-EF200264A7CC}">
  <ds:schemaRefs/>
</ds:datastoreItem>
</file>

<file path=customXml/itemProps11.xml><?xml version="1.0" encoding="utf-8"?>
<ds:datastoreItem xmlns:ds="http://schemas.openxmlformats.org/officeDocument/2006/customXml" ds:itemID="{19131A5E-E498-4B1E-8036-C4E15E09F2EE}">
  <ds:schemaRefs/>
</ds:datastoreItem>
</file>

<file path=customXml/itemProps12.xml><?xml version="1.0" encoding="utf-8"?>
<ds:datastoreItem xmlns:ds="http://schemas.openxmlformats.org/officeDocument/2006/customXml" ds:itemID="{B702A26F-12F0-4A21-88E1-72AFCB58D6C4}">
  <ds:schemaRefs/>
</ds:datastoreItem>
</file>

<file path=customXml/itemProps13.xml><?xml version="1.0" encoding="utf-8"?>
<ds:datastoreItem xmlns:ds="http://schemas.openxmlformats.org/officeDocument/2006/customXml" ds:itemID="{56E60D5A-8EA0-4007-86BF-4C71F684F281}">
  <ds:schemaRefs/>
</ds:datastoreItem>
</file>

<file path=customXml/itemProps14.xml><?xml version="1.0" encoding="utf-8"?>
<ds:datastoreItem xmlns:ds="http://schemas.openxmlformats.org/officeDocument/2006/customXml" ds:itemID="{C1AC7250-9C62-49C2-B863-6F1CDA50E99E}">
  <ds:schemaRefs/>
</ds:datastoreItem>
</file>

<file path=customXml/itemProps15.xml><?xml version="1.0" encoding="utf-8"?>
<ds:datastoreItem xmlns:ds="http://schemas.openxmlformats.org/officeDocument/2006/customXml" ds:itemID="{750B1991-F18D-4E26-BC26-C2E41404886E}">
  <ds:schemaRefs/>
</ds:datastoreItem>
</file>

<file path=customXml/itemProps16.xml><?xml version="1.0" encoding="utf-8"?>
<ds:datastoreItem xmlns:ds="http://schemas.openxmlformats.org/officeDocument/2006/customXml" ds:itemID="{807E1F1E-FF0B-4537-8FBF-3AAF164C6065}">
  <ds:schemaRefs/>
</ds:datastoreItem>
</file>

<file path=customXml/itemProps17.xml><?xml version="1.0" encoding="utf-8"?>
<ds:datastoreItem xmlns:ds="http://schemas.openxmlformats.org/officeDocument/2006/customXml" ds:itemID="{7921B392-C8F5-44B8-9FB0-C3C50F7F978B}">
  <ds:schemaRefs/>
</ds:datastoreItem>
</file>

<file path=customXml/itemProps18.xml><?xml version="1.0" encoding="utf-8"?>
<ds:datastoreItem xmlns:ds="http://schemas.openxmlformats.org/officeDocument/2006/customXml" ds:itemID="{9D1FC3A2-5DC0-43C0-BC49-15149B9F8DC7}">
  <ds:schemaRefs/>
</ds:datastoreItem>
</file>

<file path=customXml/itemProps19.xml><?xml version="1.0" encoding="utf-8"?>
<ds:datastoreItem xmlns:ds="http://schemas.openxmlformats.org/officeDocument/2006/customXml" ds:itemID="{5A782FED-A984-4755-B728-5B2580D48CFA}">
  <ds:schemaRefs/>
</ds:datastoreItem>
</file>

<file path=customXml/itemProps20.xml><?xml version="1.0" encoding="utf-8"?>
<ds:datastoreItem xmlns:ds="http://schemas.openxmlformats.org/officeDocument/2006/customXml" ds:itemID="{8E474755-A070-475E-9666-7A761F71D4AE}">
  <ds:schemaRefs/>
</ds:datastoreItem>
</file>

<file path=customXml/itemProps21.xml><?xml version="1.0" encoding="utf-8"?>
<ds:datastoreItem xmlns:ds="http://schemas.openxmlformats.org/officeDocument/2006/customXml" ds:itemID="{76D49879-5CDD-4304-91A3-EDFF734AAF4A}">
  <ds:schemaRefs/>
</ds:datastoreItem>
</file>

<file path=customXml/itemProps22.xml><?xml version="1.0" encoding="utf-8"?>
<ds:datastoreItem xmlns:ds="http://schemas.openxmlformats.org/officeDocument/2006/customXml" ds:itemID="{D2B31BC8-3A7F-45EC-AD75-1A6E2FEDE950}">
  <ds:schemaRefs/>
</ds:datastoreItem>
</file>

<file path=customXml/itemProps23.xml><?xml version="1.0" encoding="utf-8"?>
<ds:datastoreItem xmlns:ds="http://schemas.openxmlformats.org/officeDocument/2006/customXml" ds:itemID="{F3C4FB5C-840E-4CDF-865F-BF0D2FDEEED9}">
  <ds:schemaRefs/>
</ds:datastoreItem>
</file>

<file path=customXml/itemProps24.xml><?xml version="1.0" encoding="utf-8"?>
<ds:datastoreItem xmlns:ds="http://schemas.openxmlformats.org/officeDocument/2006/customXml" ds:itemID="{A3C69003-D34F-4426-B121-1BE30704C1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Evaluacion_Financiera</vt:lpstr>
      <vt:lpstr>Reporte_Ejecutivo</vt:lpstr>
      <vt:lpstr>Analisis_Modelo</vt:lpstr>
      <vt:lpstr>Resumen del escenario</vt:lpstr>
      <vt:lpstr>Estadistica_Descriptiva</vt:lpstr>
      <vt:lpstr>Dashboard_Final</vt:lpstr>
      <vt:lpstr>Documentacion_IA</vt:lpstr>
      <vt:lpstr>Aux_Dashboard</vt:lpstr>
      <vt:lpstr>Datos_Crudos_Transacciones</vt:lpstr>
      <vt:lpstr>Dashboard_Final!Área_de_impresión</vt:lpstr>
      <vt:lpstr>Reporte_Ejecutivo!Área_de_impresión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Gisela Gisela</dc:creator>
  <cp:lastModifiedBy>Gisela Gisela</cp:lastModifiedBy>
  <cp:lastPrinted>2026-09-20T20:23:18Z</cp:lastPrinted>
  <dcterms:created xsi:type="dcterms:W3CDTF">2026-09-06T18:04:24Z</dcterms:created>
  <dcterms:modified xsi:type="dcterms:W3CDTF">2026-09-20T20:23:57Z</dcterms:modified>
</cp:coreProperties>
</file>